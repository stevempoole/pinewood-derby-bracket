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https://westpca-my.sharepoint.com/personal/york_westpca_com/Documents/Documents/Children/Clubs/"/>
    </mc:Choice>
  </mc:AlternateContent>
  <xr:revisionPtr revIDLastSave="41" documentId="8_{6273B319-0A1D-4698-A3E1-E35C73759563}" xr6:coauthVersionLast="47" xr6:coauthVersionMax="47" xr10:uidLastSave="{D53FD7CD-1E44-438B-9C83-BA0C65480F6D}"/>
  <bookViews>
    <workbookView xWindow="-110" yWindow="-110" windowWidth="19420" windowHeight="11500" tabRatio="807" activeTab="1" xr2:uid="{00000000-000D-0000-FFFF-FFFF00000000}"/>
  </bookViews>
  <sheets>
    <sheet name="Readme" sheetId="21" r:id="rId1"/>
    <sheet name="Names" sheetId="20" r:id="rId2"/>
    <sheet name="25 Cars" sheetId="45" r:id="rId3"/>
    <sheet name="24 Cars" sheetId="44" r:id="rId4"/>
    <sheet name="23 Cars" sheetId="43" r:id="rId5"/>
    <sheet name="22 Cars" sheetId="42" r:id="rId6"/>
    <sheet name="21 Cars" sheetId="41" r:id="rId7"/>
    <sheet name="20 Cars" sheetId="40" r:id="rId8"/>
    <sheet name="19 Cars" sheetId="39" r:id="rId9"/>
    <sheet name="18 Cars" sheetId="38" r:id="rId10"/>
    <sheet name="17 Cars" sheetId="37" r:id="rId11"/>
    <sheet name="16 Cars" sheetId="36" r:id="rId12"/>
    <sheet name="15 Cars" sheetId="24" r:id="rId13"/>
    <sheet name="14 Cars" sheetId="25" r:id="rId14"/>
    <sheet name="13 Cars" sheetId="26" r:id="rId15"/>
    <sheet name="12 Cars" sheetId="27" r:id="rId16"/>
    <sheet name="11 Cars" sheetId="28" r:id="rId17"/>
    <sheet name="10 Cars" sheetId="29" r:id="rId18"/>
    <sheet name="9 Cars" sheetId="30" r:id="rId19"/>
    <sheet name="8 Cars" sheetId="31" r:id="rId20"/>
    <sheet name="7 Cars" sheetId="32" r:id="rId21"/>
    <sheet name="6 Cars" sheetId="33" r:id="rId22"/>
    <sheet name="5 Cars" sheetId="34" r:id="rId23"/>
    <sheet name="4 Cars" sheetId="35" r:id="rId24"/>
  </sheets>
  <definedNames>
    <definedName name="Banner">Names!$B$60</definedName>
    <definedName name="Heat_15" localSheetId="17">'10 Cars'!$H$2</definedName>
    <definedName name="Heat_15" localSheetId="16">'11 Cars'!$H$2</definedName>
    <definedName name="Heat_15" localSheetId="15">'12 Cars'!$H$2</definedName>
    <definedName name="Heat_15" localSheetId="14">'13 Cars'!$H$2</definedName>
    <definedName name="Heat_15" localSheetId="13">'14 Cars'!$H$2</definedName>
    <definedName name="Heat_15" localSheetId="12">'15 Cars'!$H$2</definedName>
    <definedName name="Heat_15" localSheetId="11">'16 Cars'!$H$2</definedName>
    <definedName name="Heat_15" localSheetId="10">'17 Cars'!$H$2</definedName>
    <definedName name="Heat_15" localSheetId="9">'18 Cars'!$H$2</definedName>
    <definedName name="Heat_15" localSheetId="8">'19 Cars'!$H$2</definedName>
    <definedName name="Heat_15" localSheetId="7">'20 Cars'!$H$2</definedName>
    <definedName name="Heat_15" localSheetId="6">'21 Cars'!$H$2</definedName>
    <definedName name="Heat_15" localSheetId="5">'22 Cars'!$H$2</definedName>
    <definedName name="Heat_15" localSheetId="4">'23 Cars'!$H$2</definedName>
    <definedName name="Heat_15" localSheetId="3">'24 Cars'!$H$2</definedName>
    <definedName name="Heat_15" localSheetId="2">'25 Cars'!$H$2</definedName>
    <definedName name="Heat_15" localSheetId="23">'4 Cars'!$H$2</definedName>
    <definedName name="Heat_15" localSheetId="22">'5 Cars'!$H$2</definedName>
    <definedName name="Heat_15" localSheetId="21">'6 Cars'!$H$2</definedName>
    <definedName name="Heat_15" localSheetId="20">'7 Cars'!$H$2</definedName>
    <definedName name="Heat_15" localSheetId="19">'8 Cars'!$H$2</definedName>
    <definedName name="Heat_15" localSheetId="18">'9 Cars'!$H$2</definedName>
    <definedName name="Heat_15">#REF!</definedName>
    <definedName name="Racer1">Names!$A$2&amp;" - "&amp;Names!$B$2</definedName>
    <definedName name="Racer10">Names!$A$11&amp;" - "&amp;Names!$B$11</definedName>
    <definedName name="Racer11">Names!$A$17&amp;" - "&amp;Names!$B$20</definedName>
    <definedName name="Racer12">Names!$A$18&amp;" - "&amp;Names!$B$18</definedName>
    <definedName name="Racer13">Names!$A$19&amp;" - "&amp;Names!#REF!</definedName>
    <definedName name="Racer14">Names!$A$20&amp;" - "&amp;Names!#REF!</definedName>
    <definedName name="Racer15">Names!$A$21&amp;" - "&amp;Names!$B$21</definedName>
    <definedName name="Racer2">Names!$A$3&amp;" - "&amp;Names!$B$3</definedName>
    <definedName name="Racer3">Names!$A$4&amp;" - "&amp;Names!$B$4</definedName>
    <definedName name="Racer4">Names!$A$5&amp;" - "&amp;Names!$B$5</definedName>
    <definedName name="Racer5">Names!$A$6&amp;" - "&amp;Names!$B$6</definedName>
    <definedName name="Racer6">Names!$A$7&amp;" - "&amp;Names!$B$7</definedName>
    <definedName name="Racer7">Names!$A$8&amp;" - "&amp;Names!$B$8</definedName>
    <definedName name="Racer8">Names!$A$9&amp;" - "&amp;Names!$B$9</definedName>
    <definedName name="Racer9">Names!$A$10&amp;" - "&amp;Names!$B$10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15" i="35" l="1"/>
  <c r="P15" i="35"/>
  <c r="O15" i="35"/>
  <c r="N15" i="35"/>
  <c r="R16" i="34"/>
  <c r="Q16" i="34"/>
  <c r="P16" i="34"/>
  <c r="O16" i="34"/>
  <c r="N16" i="34"/>
  <c r="S17" i="33"/>
  <c r="R17" i="33"/>
  <c r="Q17" i="33"/>
  <c r="P17" i="33"/>
  <c r="O17" i="33"/>
  <c r="N17" i="33"/>
  <c r="T18" i="32"/>
  <c r="S18" i="32"/>
  <c r="R18" i="32"/>
  <c r="Q18" i="32"/>
  <c r="P18" i="32"/>
  <c r="O18" i="32"/>
  <c r="N18" i="32"/>
  <c r="U19" i="31"/>
  <c r="T19" i="31"/>
  <c r="S19" i="31"/>
  <c r="R19" i="31"/>
  <c r="Q19" i="31"/>
  <c r="P19" i="31"/>
  <c r="O19" i="31"/>
  <c r="N19" i="31"/>
  <c r="V20" i="30"/>
  <c r="U20" i="30"/>
  <c r="T20" i="30"/>
  <c r="S20" i="30"/>
  <c r="R20" i="30"/>
  <c r="Q20" i="30"/>
  <c r="P20" i="30"/>
  <c r="O20" i="30"/>
  <c r="N20" i="30"/>
  <c r="W21" i="29"/>
  <c r="V21" i="29"/>
  <c r="U21" i="29"/>
  <c r="T21" i="29"/>
  <c r="S21" i="29"/>
  <c r="R21" i="29"/>
  <c r="Q21" i="29"/>
  <c r="P21" i="29"/>
  <c r="O21" i="29"/>
  <c r="N21" i="29"/>
  <c r="X22" i="28"/>
  <c r="W22" i="28"/>
  <c r="V22" i="28"/>
  <c r="U22" i="28"/>
  <c r="T22" i="28"/>
  <c r="S22" i="28"/>
  <c r="R22" i="28"/>
  <c r="Q22" i="28"/>
  <c r="P22" i="28"/>
  <c r="O22" i="28"/>
  <c r="N22" i="28"/>
  <c r="Y23" i="27"/>
  <c r="X23" i="27"/>
  <c r="W23" i="27"/>
  <c r="V23" i="27"/>
  <c r="U23" i="27"/>
  <c r="T23" i="27"/>
  <c r="S23" i="27"/>
  <c r="R23" i="27"/>
  <c r="Q23" i="27"/>
  <c r="P23" i="27"/>
  <c r="O23" i="27"/>
  <c r="N23" i="27"/>
  <c r="AA25" i="25"/>
  <c r="Z25" i="25"/>
  <c r="Y25" i="25"/>
  <c r="X25" i="25"/>
  <c r="W25" i="25"/>
  <c r="V25" i="25"/>
  <c r="U25" i="25"/>
  <c r="T25" i="25"/>
  <c r="S25" i="25"/>
  <c r="R25" i="25"/>
  <c r="Q25" i="25"/>
  <c r="P25" i="25"/>
  <c r="O25" i="25"/>
  <c r="N25" i="25"/>
  <c r="AB26" i="24"/>
  <c r="AA26" i="24"/>
  <c r="Z26" i="24"/>
  <c r="Y26" i="24"/>
  <c r="X26" i="24"/>
  <c r="W26" i="24"/>
  <c r="V26" i="24"/>
  <c r="U26" i="24"/>
  <c r="T26" i="24"/>
  <c r="S26" i="24"/>
  <c r="R26" i="24"/>
  <c r="Q26" i="24"/>
  <c r="P26" i="24"/>
  <c r="O26" i="24"/>
  <c r="N26" i="24"/>
  <c r="AC27" i="36"/>
  <c r="AB27" i="36"/>
  <c r="AA27" i="36"/>
  <c r="Z27" i="36"/>
  <c r="Y27" i="36"/>
  <c r="X27" i="36"/>
  <c r="W27" i="36"/>
  <c r="V27" i="36"/>
  <c r="U27" i="36"/>
  <c r="T27" i="36"/>
  <c r="S27" i="36"/>
  <c r="R27" i="36"/>
  <c r="Q27" i="36"/>
  <c r="P27" i="36"/>
  <c r="O27" i="36"/>
  <c r="N27" i="36"/>
  <c r="AD28" i="37"/>
  <c r="AC28" i="37"/>
  <c r="AB28" i="37"/>
  <c r="AA28" i="37"/>
  <c r="Z28" i="37"/>
  <c r="Y28" i="37"/>
  <c r="X28" i="37"/>
  <c r="W28" i="37"/>
  <c r="V28" i="37"/>
  <c r="U28" i="37"/>
  <c r="T28" i="37"/>
  <c r="S28" i="37"/>
  <c r="R28" i="37"/>
  <c r="Q28" i="37"/>
  <c r="P28" i="37"/>
  <c r="O28" i="37"/>
  <c r="N28" i="37"/>
  <c r="AE29" i="38"/>
  <c r="AD29" i="38"/>
  <c r="AC29" i="38"/>
  <c r="AB29" i="38"/>
  <c r="AA29" i="38"/>
  <c r="Z29" i="38"/>
  <c r="Y29" i="38"/>
  <c r="X29" i="38"/>
  <c r="W29" i="38"/>
  <c r="V29" i="38"/>
  <c r="U29" i="38"/>
  <c r="T29" i="38"/>
  <c r="S29" i="38"/>
  <c r="R29" i="38"/>
  <c r="Q29" i="38"/>
  <c r="P29" i="38"/>
  <c r="O29" i="38"/>
  <c r="N29" i="38"/>
  <c r="AF30" i="39"/>
  <c r="AE30" i="39"/>
  <c r="AD30" i="39"/>
  <c r="AC30" i="39"/>
  <c r="AB30" i="39"/>
  <c r="AA30" i="39"/>
  <c r="Z30" i="39"/>
  <c r="Y30" i="39"/>
  <c r="X30" i="39"/>
  <c r="W30" i="39"/>
  <c r="V30" i="39"/>
  <c r="U30" i="39"/>
  <c r="T30" i="39"/>
  <c r="S30" i="39"/>
  <c r="R30" i="39"/>
  <c r="Q30" i="39"/>
  <c r="P30" i="39"/>
  <c r="O30" i="39"/>
  <c r="N30" i="39"/>
  <c r="AH34" i="41"/>
  <c r="AH9" i="41"/>
  <c r="AH30" i="41"/>
  <c r="AH29" i="41"/>
  <c r="AH28" i="41"/>
  <c r="AH27" i="41"/>
  <c r="AH26" i="41"/>
  <c r="AH25" i="41"/>
  <c r="AH24" i="41"/>
  <c r="AH23" i="41"/>
  <c r="AH22" i="41"/>
  <c r="AH21" i="41"/>
  <c r="AH20" i="41"/>
  <c r="AH19" i="41"/>
  <c r="AH18" i="41"/>
  <c r="AH17" i="41"/>
  <c r="AH16" i="41"/>
  <c r="AH15" i="41"/>
  <c r="AH14" i="41"/>
  <c r="AH13" i="41"/>
  <c r="AH12" i="41"/>
  <c r="AH11" i="41"/>
  <c r="AH10" i="41"/>
  <c r="AG30" i="41"/>
  <c r="AF30" i="41"/>
  <c r="AE30" i="41"/>
  <c r="AD30" i="41"/>
  <c r="AC30" i="41"/>
  <c r="AB30" i="41"/>
  <c r="AA30" i="41"/>
  <c r="Z30" i="41"/>
  <c r="Y30" i="41"/>
  <c r="X30" i="41"/>
  <c r="W30" i="41"/>
  <c r="V30" i="41"/>
  <c r="U30" i="41"/>
  <c r="T30" i="41"/>
  <c r="S30" i="41"/>
  <c r="R30" i="41"/>
  <c r="Q30" i="41"/>
  <c r="P30" i="41"/>
  <c r="O30" i="41"/>
  <c r="N30" i="41"/>
  <c r="AI31" i="42"/>
  <c r="AH31" i="42"/>
  <c r="AG31" i="42"/>
  <c r="AF31" i="42"/>
  <c r="AE31" i="42"/>
  <c r="AD31" i="42"/>
  <c r="AC31" i="42"/>
  <c r="AB31" i="42"/>
  <c r="AA31" i="42"/>
  <c r="Z31" i="42"/>
  <c r="Y31" i="42"/>
  <c r="X31" i="42"/>
  <c r="W31" i="42"/>
  <c r="V31" i="42"/>
  <c r="U31" i="42"/>
  <c r="T31" i="42"/>
  <c r="S31" i="42"/>
  <c r="R31" i="42"/>
  <c r="Q31" i="42"/>
  <c r="P31" i="42"/>
  <c r="O31" i="42"/>
  <c r="N31" i="42"/>
  <c r="AI30" i="42"/>
  <c r="AH30" i="42"/>
  <c r="AG30" i="42"/>
  <c r="AF30" i="42"/>
  <c r="AE30" i="42"/>
  <c r="AD30" i="42"/>
  <c r="AC30" i="42"/>
  <c r="AB30" i="42"/>
  <c r="AA30" i="42"/>
  <c r="Z30" i="42"/>
  <c r="Y30" i="42"/>
  <c r="X30" i="42"/>
  <c r="W30" i="42"/>
  <c r="V30" i="42"/>
  <c r="U30" i="42"/>
  <c r="T30" i="42"/>
  <c r="S30" i="42"/>
  <c r="R30" i="42"/>
  <c r="Q30" i="42"/>
  <c r="P30" i="42"/>
  <c r="O30" i="42"/>
  <c r="N30" i="42"/>
  <c r="AI35" i="42"/>
  <c r="AH35" i="42"/>
  <c r="AI9" i="42"/>
  <c r="AH9" i="42"/>
  <c r="AI29" i="42"/>
  <c r="AH29" i="42"/>
  <c r="AI28" i="42"/>
  <c r="AH28" i="42"/>
  <c r="AI27" i="42"/>
  <c r="AH27" i="42"/>
  <c r="AI26" i="42"/>
  <c r="AH26" i="42"/>
  <c r="AI25" i="42"/>
  <c r="AH25" i="42"/>
  <c r="AI24" i="42"/>
  <c r="AH24" i="42"/>
  <c r="AI23" i="42"/>
  <c r="AH23" i="42"/>
  <c r="AI22" i="42"/>
  <c r="AH22" i="42"/>
  <c r="AI21" i="42"/>
  <c r="AH21" i="42"/>
  <c r="AI20" i="42"/>
  <c r="AH20" i="42"/>
  <c r="AI19" i="42"/>
  <c r="AH19" i="42"/>
  <c r="AI18" i="42"/>
  <c r="AH18" i="42"/>
  <c r="AI17" i="42"/>
  <c r="AH17" i="42"/>
  <c r="AI16" i="42"/>
  <c r="AH16" i="42"/>
  <c r="AI15" i="42"/>
  <c r="AH15" i="42"/>
  <c r="AI14" i="42"/>
  <c r="AH14" i="42"/>
  <c r="AI13" i="42"/>
  <c r="AH13" i="42"/>
  <c r="AI12" i="42"/>
  <c r="AH12" i="42"/>
  <c r="AI11" i="42"/>
  <c r="AH11" i="42"/>
  <c r="AI10" i="42"/>
  <c r="AH10" i="42"/>
  <c r="AJ36" i="43"/>
  <c r="AI36" i="43"/>
  <c r="AH36" i="43"/>
  <c r="AJ32" i="43"/>
  <c r="AI32" i="43"/>
  <c r="AH32" i="43"/>
  <c r="AG32" i="43"/>
  <c r="AF32" i="43"/>
  <c r="AE32" i="43"/>
  <c r="AD32" i="43"/>
  <c r="AC32" i="43"/>
  <c r="AB32" i="43"/>
  <c r="AA32" i="43"/>
  <c r="Z32" i="43"/>
  <c r="Y32" i="43"/>
  <c r="X32" i="43"/>
  <c r="W32" i="43"/>
  <c r="V32" i="43"/>
  <c r="U32" i="43"/>
  <c r="T32" i="43"/>
  <c r="S32" i="43"/>
  <c r="R32" i="43"/>
  <c r="Q32" i="43"/>
  <c r="P32" i="43"/>
  <c r="O32" i="43"/>
  <c r="N32" i="43"/>
  <c r="AJ31" i="43"/>
  <c r="AI31" i="43"/>
  <c r="AH31" i="43"/>
  <c r="AG31" i="43"/>
  <c r="AF31" i="43"/>
  <c r="AE31" i="43"/>
  <c r="AD31" i="43"/>
  <c r="AC31" i="43"/>
  <c r="AB31" i="43"/>
  <c r="AA31" i="43"/>
  <c r="Z31" i="43"/>
  <c r="Y31" i="43"/>
  <c r="X31" i="43"/>
  <c r="W31" i="43"/>
  <c r="V31" i="43"/>
  <c r="U31" i="43"/>
  <c r="T31" i="43"/>
  <c r="S31" i="43"/>
  <c r="R31" i="43"/>
  <c r="Q31" i="43"/>
  <c r="P31" i="43"/>
  <c r="O31" i="43"/>
  <c r="N31" i="43"/>
  <c r="AJ30" i="43"/>
  <c r="AI30" i="43"/>
  <c r="AH30" i="43"/>
  <c r="AG30" i="43"/>
  <c r="AF30" i="43"/>
  <c r="AE30" i="43"/>
  <c r="AD30" i="43"/>
  <c r="AC30" i="43"/>
  <c r="AB30" i="43"/>
  <c r="AA30" i="43"/>
  <c r="Z30" i="43"/>
  <c r="Y30" i="43"/>
  <c r="X30" i="43"/>
  <c r="W30" i="43"/>
  <c r="V30" i="43"/>
  <c r="U30" i="43"/>
  <c r="T30" i="43"/>
  <c r="S30" i="43"/>
  <c r="R30" i="43"/>
  <c r="Q30" i="43"/>
  <c r="P30" i="43"/>
  <c r="O30" i="43"/>
  <c r="N30" i="43"/>
  <c r="AJ9" i="43"/>
  <c r="AI9" i="43"/>
  <c r="AH9" i="43"/>
  <c r="AJ29" i="43"/>
  <c r="AI29" i="43"/>
  <c r="AH29" i="43"/>
  <c r="AJ28" i="43"/>
  <c r="AI28" i="43"/>
  <c r="AH28" i="43"/>
  <c r="AJ27" i="43"/>
  <c r="AI27" i="43"/>
  <c r="AH27" i="43"/>
  <c r="AJ26" i="43"/>
  <c r="AI26" i="43"/>
  <c r="AH26" i="43"/>
  <c r="AJ25" i="43"/>
  <c r="AI25" i="43"/>
  <c r="AH25" i="43"/>
  <c r="AJ24" i="43"/>
  <c r="AI24" i="43"/>
  <c r="AH24" i="43"/>
  <c r="AJ23" i="43"/>
  <c r="AI23" i="43"/>
  <c r="AH23" i="43"/>
  <c r="AJ22" i="43"/>
  <c r="AI22" i="43"/>
  <c r="AH22" i="43"/>
  <c r="AJ21" i="43"/>
  <c r="AI21" i="43"/>
  <c r="AH21" i="43"/>
  <c r="AJ20" i="43"/>
  <c r="AI20" i="43"/>
  <c r="AH20" i="43"/>
  <c r="AJ19" i="43"/>
  <c r="AI19" i="43"/>
  <c r="AH19" i="43"/>
  <c r="AJ18" i="43"/>
  <c r="AI18" i="43"/>
  <c r="AH18" i="43"/>
  <c r="AJ17" i="43"/>
  <c r="AI17" i="43"/>
  <c r="AH17" i="43"/>
  <c r="AJ16" i="43"/>
  <c r="AI16" i="43"/>
  <c r="AH16" i="43"/>
  <c r="AJ15" i="43"/>
  <c r="AI15" i="43"/>
  <c r="AH15" i="43"/>
  <c r="AJ14" i="43"/>
  <c r="AI14" i="43"/>
  <c r="AH14" i="43"/>
  <c r="AJ13" i="43"/>
  <c r="AI13" i="43"/>
  <c r="AH13" i="43"/>
  <c r="AJ12" i="43"/>
  <c r="AI12" i="43"/>
  <c r="AH12" i="43"/>
  <c r="AJ11" i="43"/>
  <c r="AI11" i="43"/>
  <c r="AH11" i="43"/>
  <c r="AJ10" i="43"/>
  <c r="AI10" i="43"/>
  <c r="AH10" i="43"/>
  <c r="AK37" i="44"/>
  <c r="AJ37" i="44"/>
  <c r="AI37" i="44"/>
  <c r="AH37" i="44"/>
  <c r="AK33" i="44"/>
  <c r="AJ33" i="44"/>
  <c r="AI33" i="44"/>
  <c r="AH33" i="44"/>
  <c r="AG33" i="44"/>
  <c r="AF33" i="44"/>
  <c r="AE33" i="44"/>
  <c r="AD33" i="44"/>
  <c r="AC33" i="44"/>
  <c r="AB33" i="44"/>
  <c r="AA33" i="44"/>
  <c r="Z33" i="44"/>
  <c r="Y33" i="44"/>
  <c r="X33" i="44"/>
  <c r="W33" i="44"/>
  <c r="V33" i="44"/>
  <c r="U33" i="44"/>
  <c r="T33" i="44"/>
  <c r="S33" i="44"/>
  <c r="R33" i="44"/>
  <c r="Q33" i="44"/>
  <c r="P33" i="44"/>
  <c r="O33" i="44"/>
  <c r="N33" i="44"/>
  <c r="AK32" i="44"/>
  <c r="AJ32" i="44"/>
  <c r="AI32" i="44"/>
  <c r="AH32" i="44"/>
  <c r="AG32" i="44"/>
  <c r="AF32" i="44"/>
  <c r="AE32" i="44"/>
  <c r="AD32" i="44"/>
  <c r="AC32" i="44"/>
  <c r="AB32" i="44"/>
  <c r="AA32" i="44"/>
  <c r="Z32" i="44"/>
  <c r="Y32" i="44"/>
  <c r="X32" i="44"/>
  <c r="W32" i="44"/>
  <c r="V32" i="44"/>
  <c r="U32" i="44"/>
  <c r="T32" i="44"/>
  <c r="S32" i="44"/>
  <c r="R32" i="44"/>
  <c r="Q32" i="44"/>
  <c r="P32" i="44"/>
  <c r="O32" i="44"/>
  <c r="N32" i="44"/>
  <c r="AK31" i="44"/>
  <c r="AJ31" i="44"/>
  <c r="AI31" i="44"/>
  <c r="AH31" i="44"/>
  <c r="AG31" i="44"/>
  <c r="AF31" i="44"/>
  <c r="AE31" i="44"/>
  <c r="AD31" i="44"/>
  <c r="AC31" i="44"/>
  <c r="AB31" i="44"/>
  <c r="AA31" i="44"/>
  <c r="Z31" i="44"/>
  <c r="Y31" i="44"/>
  <c r="X31" i="44"/>
  <c r="W31" i="44"/>
  <c r="V31" i="44"/>
  <c r="U31" i="44"/>
  <c r="T31" i="44"/>
  <c r="S31" i="44"/>
  <c r="R31" i="44"/>
  <c r="Q31" i="44"/>
  <c r="P31" i="44"/>
  <c r="O31" i="44"/>
  <c r="N31" i="44"/>
  <c r="AK30" i="44"/>
  <c r="AJ30" i="44"/>
  <c r="AI30" i="44"/>
  <c r="AH30" i="44"/>
  <c r="AG30" i="44"/>
  <c r="AF30" i="44"/>
  <c r="AE30" i="44"/>
  <c r="AD30" i="44"/>
  <c r="AC30" i="44"/>
  <c r="AB30" i="44"/>
  <c r="AA30" i="44"/>
  <c r="Z30" i="44"/>
  <c r="Y30" i="44"/>
  <c r="X30" i="44"/>
  <c r="W30" i="44"/>
  <c r="V30" i="44"/>
  <c r="U30" i="44"/>
  <c r="T30" i="44"/>
  <c r="S30" i="44"/>
  <c r="R30" i="44"/>
  <c r="Q30" i="44"/>
  <c r="P30" i="44"/>
  <c r="O30" i="44"/>
  <c r="N30" i="44"/>
  <c r="AK9" i="44"/>
  <c r="AJ9" i="44"/>
  <c r="AI9" i="44"/>
  <c r="AH9" i="44"/>
  <c r="AK29" i="44"/>
  <c r="AJ29" i="44"/>
  <c r="AI29" i="44"/>
  <c r="AH29" i="44"/>
  <c r="AK28" i="44"/>
  <c r="AJ28" i="44"/>
  <c r="AI28" i="44"/>
  <c r="AH28" i="44"/>
  <c r="AK27" i="44"/>
  <c r="AJ27" i="44"/>
  <c r="AI27" i="44"/>
  <c r="AH27" i="44"/>
  <c r="AK26" i="44"/>
  <c r="AJ26" i="44"/>
  <c r="AI26" i="44"/>
  <c r="AH26" i="44"/>
  <c r="AK25" i="44"/>
  <c r="AJ25" i="44"/>
  <c r="AI25" i="44"/>
  <c r="AH25" i="44"/>
  <c r="AK24" i="44"/>
  <c r="AJ24" i="44"/>
  <c r="AI24" i="44"/>
  <c r="AH24" i="44"/>
  <c r="AK23" i="44"/>
  <c r="AJ23" i="44"/>
  <c r="AI23" i="44"/>
  <c r="AH23" i="44"/>
  <c r="AK22" i="44"/>
  <c r="AJ22" i="44"/>
  <c r="AI22" i="44"/>
  <c r="AH22" i="44"/>
  <c r="AK21" i="44"/>
  <c r="AJ21" i="44"/>
  <c r="AI21" i="44"/>
  <c r="AH21" i="44"/>
  <c r="AK20" i="44"/>
  <c r="AJ20" i="44"/>
  <c r="AI20" i="44"/>
  <c r="AH20" i="44"/>
  <c r="AK19" i="44"/>
  <c r="AJ19" i="44"/>
  <c r="AI19" i="44"/>
  <c r="AH19" i="44"/>
  <c r="AK18" i="44"/>
  <c r="AJ18" i="44"/>
  <c r="AI18" i="44"/>
  <c r="AH18" i="44"/>
  <c r="AK17" i="44"/>
  <c r="AJ17" i="44"/>
  <c r="AI17" i="44"/>
  <c r="AH17" i="44"/>
  <c r="AK16" i="44"/>
  <c r="AJ16" i="44"/>
  <c r="AI16" i="44"/>
  <c r="AH16" i="44"/>
  <c r="AK15" i="44"/>
  <c r="AJ15" i="44"/>
  <c r="AI15" i="44"/>
  <c r="AH15" i="44"/>
  <c r="AK14" i="44"/>
  <c r="AJ14" i="44"/>
  <c r="AI14" i="44"/>
  <c r="AH14" i="44"/>
  <c r="AK13" i="44"/>
  <c r="AJ13" i="44"/>
  <c r="AI13" i="44"/>
  <c r="AH13" i="44"/>
  <c r="AK12" i="44"/>
  <c r="AJ12" i="44"/>
  <c r="AI12" i="44"/>
  <c r="AH12" i="44"/>
  <c r="AK11" i="44"/>
  <c r="AJ11" i="44"/>
  <c r="AJ34" i="44" s="1"/>
  <c r="AI11" i="44"/>
  <c r="AH11" i="44"/>
  <c r="AK10" i="44"/>
  <c r="AJ10" i="44"/>
  <c r="AI10" i="44"/>
  <c r="AH10" i="44"/>
  <c r="N34" i="45"/>
  <c r="O34" i="45"/>
  <c r="P34" i="45"/>
  <c r="Q34" i="45"/>
  <c r="R34" i="45"/>
  <c r="S34" i="45"/>
  <c r="T34" i="45"/>
  <c r="U34" i="45"/>
  <c r="V34" i="45"/>
  <c r="W34" i="45"/>
  <c r="X34" i="45"/>
  <c r="Y34" i="45"/>
  <c r="Z34" i="45"/>
  <c r="AA34" i="45"/>
  <c r="AB34" i="45"/>
  <c r="AC34" i="45"/>
  <c r="AD34" i="45"/>
  <c r="AE34" i="45"/>
  <c r="AF34" i="45"/>
  <c r="AG34" i="45"/>
  <c r="AH34" i="45"/>
  <c r="AI34" i="45"/>
  <c r="AJ34" i="45"/>
  <c r="AK34" i="45"/>
  <c r="AL34" i="45"/>
  <c r="N33" i="45"/>
  <c r="O33" i="45"/>
  <c r="P33" i="45"/>
  <c r="Q33" i="45"/>
  <c r="R33" i="45"/>
  <c r="S33" i="45"/>
  <c r="T33" i="45"/>
  <c r="U33" i="45"/>
  <c r="V33" i="45"/>
  <c r="W33" i="45"/>
  <c r="X33" i="45"/>
  <c r="Y33" i="45"/>
  <c r="Z33" i="45"/>
  <c r="AA33" i="45"/>
  <c r="AB33" i="45"/>
  <c r="AC33" i="45"/>
  <c r="AD33" i="45"/>
  <c r="AE33" i="45"/>
  <c r="AF33" i="45"/>
  <c r="AG33" i="45"/>
  <c r="AH33" i="45"/>
  <c r="AI33" i="45"/>
  <c r="AJ33" i="45"/>
  <c r="AK33" i="45"/>
  <c r="AL33" i="45"/>
  <c r="N32" i="45"/>
  <c r="O32" i="45"/>
  <c r="P32" i="45"/>
  <c r="Q32" i="45"/>
  <c r="R32" i="45"/>
  <c r="S32" i="45"/>
  <c r="T32" i="45"/>
  <c r="U32" i="45"/>
  <c r="V32" i="45"/>
  <c r="W32" i="45"/>
  <c r="X32" i="45"/>
  <c r="Y32" i="45"/>
  <c r="Z32" i="45"/>
  <c r="AA32" i="45"/>
  <c r="AB32" i="45"/>
  <c r="AC32" i="45"/>
  <c r="AD32" i="45"/>
  <c r="AE32" i="45"/>
  <c r="AF32" i="45"/>
  <c r="AG32" i="45"/>
  <c r="AH32" i="45"/>
  <c r="AI32" i="45"/>
  <c r="AJ32" i="45"/>
  <c r="AK32" i="45"/>
  <c r="AL32" i="45"/>
  <c r="N31" i="45"/>
  <c r="O31" i="45"/>
  <c r="P31" i="45"/>
  <c r="Q31" i="45"/>
  <c r="R31" i="45"/>
  <c r="S31" i="45"/>
  <c r="T31" i="45"/>
  <c r="U31" i="45"/>
  <c r="V31" i="45"/>
  <c r="W31" i="45"/>
  <c r="X31" i="45"/>
  <c r="Y31" i="45"/>
  <c r="Z31" i="45"/>
  <c r="AA31" i="45"/>
  <c r="AB31" i="45"/>
  <c r="AC31" i="45"/>
  <c r="AD31" i="45"/>
  <c r="AE31" i="45"/>
  <c r="AF31" i="45"/>
  <c r="AG31" i="45"/>
  <c r="AH31" i="45"/>
  <c r="AI31" i="45"/>
  <c r="AJ31" i="45"/>
  <c r="AK31" i="45"/>
  <c r="AL31" i="45"/>
  <c r="N30" i="45"/>
  <c r="O30" i="45"/>
  <c r="P30" i="45"/>
  <c r="Q30" i="45"/>
  <c r="R30" i="45"/>
  <c r="S30" i="45"/>
  <c r="T30" i="45"/>
  <c r="U30" i="45"/>
  <c r="V30" i="45"/>
  <c r="W30" i="45"/>
  <c r="X30" i="45"/>
  <c r="Y30" i="45"/>
  <c r="Z30" i="45"/>
  <c r="AA30" i="45"/>
  <c r="AB30" i="45"/>
  <c r="AC30" i="45"/>
  <c r="AD30" i="45"/>
  <c r="AE30" i="45"/>
  <c r="AF30" i="45"/>
  <c r="AG30" i="45"/>
  <c r="AH30" i="45"/>
  <c r="AI30" i="45"/>
  <c r="AJ30" i="45"/>
  <c r="AK30" i="45"/>
  <c r="AL30" i="45"/>
  <c r="AL29" i="45"/>
  <c r="AK29" i="45"/>
  <c r="AJ29" i="45"/>
  <c r="AI29" i="45"/>
  <c r="AH29" i="45"/>
  <c r="AL28" i="45"/>
  <c r="AK28" i="45"/>
  <c r="AJ28" i="45"/>
  <c r="AI28" i="45"/>
  <c r="AH28" i="45"/>
  <c r="AL27" i="45"/>
  <c r="AK27" i="45"/>
  <c r="AJ27" i="45"/>
  <c r="AI27" i="45"/>
  <c r="AH27" i="45"/>
  <c r="AL26" i="45"/>
  <c r="AK26" i="45"/>
  <c r="AJ26" i="45"/>
  <c r="AI26" i="45"/>
  <c r="AH26" i="45"/>
  <c r="AL25" i="45"/>
  <c r="AK25" i="45"/>
  <c r="AJ25" i="45"/>
  <c r="AI25" i="45"/>
  <c r="AH25" i="45"/>
  <c r="AL24" i="45"/>
  <c r="AK24" i="45"/>
  <c r="AJ24" i="45"/>
  <c r="AI24" i="45"/>
  <c r="AH24" i="45"/>
  <c r="AL23" i="45"/>
  <c r="AK23" i="45"/>
  <c r="AJ23" i="45"/>
  <c r="AI23" i="45"/>
  <c r="AH23" i="45"/>
  <c r="AL22" i="45"/>
  <c r="AK22" i="45"/>
  <c r="AJ22" i="45"/>
  <c r="AI22" i="45"/>
  <c r="AH22" i="45"/>
  <c r="AL21" i="45"/>
  <c r="AK21" i="45"/>
  <c r="AJ21" i="45"/>
  <c r="AI21" i="45"/>
  <c r="AH21" i="45"/>
  <c r="AL20" i="45"/>
  <c r="AK20" i="45"/>
  <c r="AJ20" i="45"/>
  <c r="AI20" i="45"/>
  <c r="AH20" i="45"/>
  <c r="AL19" i="45"/>
  <c r="AK19" i="45"/>
  <c r="AJ19" i="45"/>
  <c r="AI19" i="45"/>
  <c r="AH19" i="45"/>
  <c r="AL18" i="45"/>
  <c r="AK18" i="45"/>
  <c r="AJ18" i="45"/>
  <c r="AI18" i="45"/>
  <c r="AH18" i="45"/>
  <c r="AL17" i="45"/>
  <c r="AK17" i="45"/>
  <c r="AJ17" i="45"/>
  <c r="AI17" i="45"/>
  <c r="AH17" i="45"/>
  <c r="AL16" i="45"/>
  <c r="AK16" i="45"/>
  <c r="AJ16" i="45"/>
  <c r="AI16" i="45"/>
  <c r="AH16" i="45"/>
  <c r="AL15" i="45"/>
  <c r="AK15" i="45"/>
  <c r="AJ15" i="45"/>
  <c r="AI15" i="45"/>
  <c r="AH15" i="45"/>
  <c r="AL14" i="45"/>
  <c r="AK14" i="45"/>
  <c r="AJ14" i="45"/>
  <c r="AI14" i="45"/>
  <c r="AH14" i="45"/>
  <c r="AL13" i="45"/>
  <c r="AK13" i="45"/>
  <c r="AJ13" i="45"/>
  <c r="AI13" i="45"/>
  <c r="AH13" i="45"/>
  <c r="AL12" i="45"/>
  <c r="AK12" i="45"/>
  <c r="AJ12" i="45"/>
  <c r="AI12" i="45"/>
  <c r="AH12" i="45"/>
  <c r="AL11" i="45"/>
  <c r="AK11" i="45"/>
  <c r="AJ11" i="45"/>
  <c r="AI11" i="45"/>
  <c r="AH11" i="45"/>
  <c r="AL10" i="45"/>
  <c r="AL35" i="45" s="1"/>
  <c r="AL36" i="45" s="1"/>
  <c r="AK10" i="45"/>
  <c r="AJ10" i="45"/>
  <c r="AI10" i="45"/>
  <c r="AH10" i="45"/>
  <c r="AL38" i="45"/>
  <c r="AK38" i="45"/>
  <c r="AJ38" i="45"/>
  <c r="AI38" i="45"/>
  <c r="AH38" i="45"/>
  <c r="AL9" i="45"/>
  <c r="AK9" i="45"/>
  <c r="AJ9" i="45"/>
  <c r="AI9" i="45"/>
  <c r="AH9" i="45"/>
  <c r="AG38" i="45"/>
  <c r="AF38" i="45"/>
  <c r="AE38" i="45"/>
  <c r="AD38" i="45"/>
  <c r="AC38" i="45"/>
  <c r="AB38" i="45"/>
  <c r="AA38" i="45"/>
  <c r="Z38" i="45"/>
  <c r="Y38" i="45"/>
  <c r="X38" i="45"/>
  <c r="W38" i="45"/>
  <c r="V38" i="45"/>
  <c r="U38" i="45"/>
  <c r="T38" i="45"/>
  <c r="S38" i="45"/>
  <c r="R38" i="45"/>
  <c r="Q38" i="45"/>
  <c r="P38" i="45"/>
  <c r="O38" i="45"/>
  <c r="N38" i="45"/>
  <c r="AG29" i="45"/>
  <c r="AF29" i="45"/>
  <c r="AE29" i="45"/>
  <c r="AD29" i="45"/>
  <c r="AC29" i="45"/>
  <c r="AB29" i="45"/>
  <c r="AA29" i="45"/>
  <c r="Z29" i="45"/>
  <c r="Y29" i="45"/>
  <c r="X29" i="45"/>
  <c r="W29" i="45"/>
  <c r="V29" i="45"/>
  <c r="U29" i="45"/>
  <c r="T29" i="45"/>
  <c r="S29" i="45"/>
  <c r="R29" i="45"/>
  <c r="Q29" i="45"/>
  <c r="P29" i="45"/>
  <c r="O29" i="45"/>
  <c r="N29" i="45"/>
  <c r="AG28" i="45"/>
  <c r="AF28" i="45"/>
  <c r="AE28" i="45"/>
  <c r="AD28" i="45"/>
  <c r="AC28" i="45"/>
  <c r="AB28" i="45"/>
  <c r="AA28" i="45"/>
  <c r="Z28" i="45"/>
  <c r="Y28" i="45"/>
  <c r="X28" i="45"/>
  <c r="W28" i="45"/>
  <c r="V28" i="45"/>
  <c r="U28" i="45"/>
  <c r="T28" i="45"/>
  <c r="S28" i="45"/>
  <c r="R28" i="45"/>
  <c r="Q28" i="45"/>
  <c r="P28" i="45"/>
  <c r="O28" i="45"/>
  <c r="N28" i="45"/>
  <c r="AG27" i="45"/>
  <c r="AF27" i="45"/>
  <c r="AE27" i="45"/>
  <c r="AD27" i="45"/>
  <c r="AC27" i="45"/>
  <c r="AB27" i="45"/>
  <c r="AA27" i="45"/>
  <c r="Z27" i="45"/>
  <c r="Y27" i="45"/>
  <c r="X27" i="45"/>
  <c r="W27" i="45"/>
  <c r="V27" i="45"/>
  <c r="U27" i="45"/>
  <c r="T27" i="45"/>
  <c r="S27" i="45"/>
  <c r="R27" i="45"/>
  <c r="Q27" i="45"/>
  <c r="P27" i="45"/>
  <c r="O27" i="45"/>
  <c r="N27" i="45"/>
  <c r="AG26" i="45"/>
  <c r="AF26" i="45"/>
  <c r="AE26" i="45"/>
  <c r="AD26" i="45"/>
  <c r="AC26" i="45"/>
  <c r="AB26" i="45"/>
  <c r="AA26" i="45"/>
  <c r="Z26" i="45"/>
  <c r="Y26" i="45"/>
  <c r="X26" i="45"/>
  <c r="W26" i="45"/>
  <c r="V26" i="45"/>
  <c r="U26" i="45"/>
  <c r="T26" i="45"/>
  <c r="S26" i="45"/>
  <c r="R26" i="45"/>
  <c r="Q26" i="45"/>
  <c r="P26" i="45"/>
  <c r="O26" i="45"/>
  <c r="N26" i="45"/>
  <c r="AG25" i="45"/>
  <c r="AF25" i="45"/>
  <c r="AE25" i="45"/>
  <c r="AD25" i="45"/>
  <c r="AC25" i="45"/>
  <c r="AB25" i="45"/>
  <c r="AA25" i="45"/>
  <c r="Z25" i="45"/>
  <c r="Y25" i="45"/>
  <c r="X25" i="45"/>
  <c r="W25" i="45"/>
  <c r="V25" i="45"/>
  <c r="U25" i="45"/>
  <c r="T25" i="45"/>
  <c r="S25" i="45"/>
  <c r="R25" i="45"/>
  <c r="Q25" i="45"/>
  <c r="P25" i="45"/>
  <c r="O25" i="45"/>
  <c r="N25" i="45"/>
  <c r="AG24" i="45"/>
  <c r="AF24" i="45"/>
  <c r="AE24" i="45"/>
  <c r="AD24" i="45"/>
  <c r="AC24" i="45"/>
  <c r="AB24" i="45"/>
  <c r="AA24" i="45"/>
  <c r="Z24" i="45"/>
  <c r="Y24" i="45"/>
  <c r="X24" i="45"/>
  <c r="W24" i="45"/>
  <c r="V24" i="45"/>
  <c r="U24" i="45"/>
  <c r="T24" i="45"/>
  <c r="S24" i="45"/>
  <c r="R24" i="45"/>
  <c r="Q24" i="45"/>
  <c r="P24" i="45"/>
  <c r="O24" i="45"/>
  <c r="N24" i="45"/>
  <c r="AG23" i="45"/>
  <c r="AF23" i="45"/>
  <c r="AE23" i="45"/>
  <c r="AD23" i="45"/>
  <c r="AC23" i="45"/>
  <c r="AB23" i="45"/>
  <c r="AA23" i="45"/>
  <c r="Z23" i="45"/>
  <c r="Y23" i="45"/>
  <c r="X23" i="45"/>
  <c r="W23" i="45"/>
  <c r="V23" i="45"/>
  <c r="U23" i="45"/>
  <c r="T23" i="45"/>
  <c r="S23" i="45"/>
  <c r="R23" i="45"/>
  <c r="Q23" i="45"/>
  <c r="P23" i="45"/>
  <c r="O23" i="45"/>
  <c r="N23" i="45"/>
  <c r="AG22" i="45"/>
  <c r="AF22" i="45"/>
  <c r="AE22" i="45"/>
  <c r="AD22" i="45"/>
  <c r="AC22" i="45"/>
  <c r="AB22" i="45"/>
  <c r="AA22" i="45"/>
  <c r="Z22" i="45"/>
  <c r="Y22" i="45"/>
  <c r="X22" i="45"/>
  <c r="W22" i="45"/>
  <c r="V22" i="45"/>
  <c r="U22" i="45"/>
  <c r="T22" i="45"/>
  <c r="S22" i="45"/>
  <c r="R22" i="45"/>
  <c r="Q22" i="45"/>
  <c r="P22" i="45"/>
  <c r="O22" i="45"/>
  <c r="N22" i="45"/>
  <c r="AG21" i="45"/>
  <c r="AF21" i="45"/>
  <c r="AE21" i="45"/>
  <c r="AD21" i="45"/>
  <c r="AC21" i="45"/>
  <c r="AB21" i="45"/>
  <c r="AA21" i="45"/>
  <c r="Z21" i="45"/>
  <c r="Y21" i="45"/>
  <c r="X21" i="45"/>
  <c r="W21" i="45"/>
  <c r="V21" i="45"/>
  <c r="U21" i="45"/>
  <c r="T21" i="45"/>
  <c r="S21" i="45"/>
  <c r="R21" i="45"/>
  <c r="Q21" i="45"/>
  <c r="P21" i="45"/>
  <c r="O21" i="45"/>
  <c r="N21" i="45"/>
  <c r="AG20" i="45"/>
  <c r="AF20" i="45"/>
  <c r="AE20" i="45"/>
  <c r="AD20" i="45"/>
  <c r="AC20" i="45"/>
  <c r="AB20" i="45"/>
  <c r="AA20" i="45"/>
  <c r="Z20" i="45"/>
  <c r="Y20" i="45"/>
  <c r="X20" i="45"/>
  <c r="W20" i="45"/>
  <c r="V20" i="45"/>
  <c r="U20" i="45"/>
  <c r="T20" i="45"/>
  <c r="S20" i="45"/>
  <c r="R20" i="45"/>
  <c r="Q20" i="45"/>
  <c r="P20" i="45"/>
  <c r="O20" i="45"/>
  <c r="N20" i="45"/>
  <c r="AG19" i="45"/>
  <c r="AF19" i="45"/>
  <c r="AE19" i="45"/>
  <c r="AD19" i="45"/>
  <c r="AC19" i="45"/>
  <c r="AB19" i="45"/>
  <c r="AA19" i="45"/>
  <c r="Z19" i="45"/>
  <c r="Y19" i="45"/>
  <c r="X19" i="45"/>
  <c r="W19" i="45"/>
  <c r="V19" i="45"/>
  <c r="U19" i="45"/>
  <c r="T19" i="45"/>
  <c r="S19" i="45"/>
  <c r="R19" i="45"/>
  <c r="Q19" i="45"/>
  <c r="P19" i="45"/>
  <c r="O19" i="45"/>
  <c r="N19" i="45"/>
  <c r="AG18" i="45"/>
  <c r="AF18" i="45"/>
  <c r="AE18" i="45"/>
  <c r="AD18" i="45"/>
  <c r="AC18" i="45"/>
  <c r="AB18" i="45"/>
  <c r="AA18" i="45"/>
  <c r="Z18" i="45"/>
  <c r="Y18" i="45"/>
  <c r="X18" i="45"/>
  <c r="W18" i="45"/>
  <c r="V18" i="45"/>
  <c r="U18" i="45"/>
  <c r="T18" i="45"/>
  <c r="S18" i="45"/>
  <c r="R18" i="45"/>
  <c r="Q18" i="45"/>
  <c r="P18" i="45"/>
  <c r="O18" i="45"/>
  <c r="N18" i="45"/>
  <c r="AG17" i="45"/>
  <c r="AF17" i="45"/>
  <c r="AE17" i="45"/>
  <c r="AD17" i="45"/>
  <c r="AC17" i="45"/>
  <c r="AB17" i="45"/>
  <c r="AA17" i="45"/>
  <c r="Z17" i="45"/>
  <c r="Y17" i="45"/>
  <c r="X17" i="45"/>
  <c r="W17" i="45"/>
  <c r="V17" i="45"/>
  <c r="U17" i="45"/>
  <c r="T17" i="45"/>
  <c r="S17" i="45"/>
  <c r="R17" i="45"/>
  <c r="Q17" i="45"/>
  <c r="P17" i="45"/>
  <c r="O17" i="45"/>
  <c r="N17" i="45"/>
  <c r="AG16" i="45"/>
  <c r="AF16" i="45"/>
  <c r="AE16" i="45"/>
  <c r="AD16" i="45"/>
  <c r="AC16" i="45"/>
  <c r="AB16" i="45"/>
  <c r="AA16" i="45"/>
  <c r="Z16" i="45"/>
  <c r="Y16" i="45"/>
  <c r="X16" i="45"/>
  <c r="W16" i="45"/>
  <c r="V16" i="45"/>
  <c r="U16" i="45"/>
  <c r="T16" i="45"/>
  <c r="S16" i="45"/>
  <c r="R16" i="45"/>
  <c r="Q16" i="45"/>
  <c r="P16" i="45"/>
  <c r="O16" i="45"/>
  <c r="N16" i="45"/>
  <c r="AG15" i="45"/>
  <c r="AF15" i="45"/>
  <c r="AE15" i="45"/>
  <c r="AD15" i="45"/>
  <c r="AC15" i="45"/>
  <c r="AB15" i="45"/>
  <c r="AA15" i="45"/>
  <c r="Z15" i="45"/>
  <c r="Y15" i="45"/>
  <c r="X15" i="45"/>
  <c r="W15" i="45"/>
  <c r="V15" i="45"/>
  <c r="U15" i="45"/>
  <c r="T15" i="45"/>
  <c r="S15" i="45"/>
  <c r="R15" i="45"/>
  <c r="Q15" i="45"/>
  <c r="P15" i="45"/>
  <c r="O15" i="45"/>
  <c r="N15" i="45"/>
  <c r="AG14" i="45"/>
  <c r="AF14" i="45"/>
  <c r="AE14" i="45"/>
  <c r="AD14" i="45"/>
  <c r="AC14" i="45"/>
  <c r="AB14" i="45"/>
  <c r="AA14" i="45"/>
  <c r="Z14" i="45"/>
  <c r="Y14" i="45"/>
  <c r="X14" i="45"/>
  <c r="W14" i="45"/>
  <c r="V14" i="45"/>
  <c r="U14" i="45"/>
  <c r="T14" i="45"/>
  <c r="S14" i="45"/>
  <c r="R14" i="45"/>
  <c r="Q14" i="45"/>
  <c r="P14" i="45"/>
  <c r="O14" i="45"/>
  <c r="N14" i="45"/>
  <c r="AG13" i="45"/>
  <c r="AF13" i="45"/>
  <c r="AE13" i="45"/>
  <c r="AD13" i="45"/>
  <c r="AC13" i="45"/>
  <c r="AB13" i="45"/>
  <c r="AA13" i="45"/>
  <c r="Z13" i="45"/>
  <c r="Y13" i="45"/>
  <c r="X13" i="45"/>
  <c r="W13" i="45"/>
  <c r="V13" i="45"/>
  <c r="U13" i="45"/>
  <c r="T13" i="45"/>
  <c r="S13" i="45"/>
  <c r="R13" i="45"/>
  <c r="Q13" i="45"/>
  <c r="P13" i="45"/>
  <c r="O13" i="45"/>
  <c r="N13" i="45"/>
  <c r="AG12" i="45"/>
  <c r="AF12" i="45"/>
  <c r="AE12" i="45"/>
  <c r="AD12" i="45"/>
  <c r="AC12" i="45"/>
  <c r="AB12" i="45"/>
  <c r="AA12" i="45"/>
  <c r="Z12" i="45"/>
  <c r="Y12" i="45"/>
  <c r="X12" i="45"/>
  <c r="W12" i="45"/>
  <c r="V12" i="45"/>
  <c r="U12" i="45"/>
  <c r="T12" i="45"/>
  <c r="S12" i="45"/>
  <c r="R12" i="45"/>
  <c r="Q12" i="45"/>
  <c r="P12" i="45"/>
  <c r="O12" i="45"/>
  <c r="N12" i="45"/>
  <c r="AG11" i="45"/>
  <c r="AF11" i="45"/>
  <c r="AE11" i="45"/>
  <c r="AD11" i="45"/>
  <c r="AC11" i="45"/>
  <c r="AB11" i="45"/>
  <c r="AA11" i="45"/>
  <c r="Z11" i="45"/>
  <c r="Y11" i="45"/>
  <c r="X11" i="45"/>
  <c r="W11" i="45"/>
  <c r="V11" i="45"/>
  <c r="U11" i="45"/>
  <c r="T11" i="45"/>
  <c r="S11" i="45"/>
  <c r="R11" i="45"/>
  <c r="Q11" i="45"/>
  <c r="P11" i="45"/>
  <c r="O11" i="45"/>
  <c r="N11" i="45"/>
  <c r="AG10" i="45"/>
  <c r="AF10" i="45"/>
  <c r="AE10" i="45"/>
  <c r="AD10" i="45"/>
  <c r="AC10" i="45"/>
  <c r="AB10" i="45"/>
  <c r="AA10" i="45"/>
  <c r="Z10" i="45"/>
  <c r="Y10" i="45"/>
  <c r="X10" i="45"/>
  <c r="W10" i="45"/>
  <c r="V10" i="45"/>
  <c r="U10" i="45"/>
  <c r="T10" i="45"/>
  <c r="S10" i="45"/>
  <c r="R10" i="45"/>
  <c r="Q10" i="45"/>
  <c r="P10" i="45"/>
  <c r="O10" i="45"/>
  <c r="N10" i="45"/>
  <c r="AG9" i="45"/>
  <c r="AF9" i="45"/>
  <c r="AE9" i="45"/>
  <c r="AD9" i="45"/>
  <c r="AC9" i="45"/>
  <c r="AB9" i="45"/>
  <c r="AA9" i="45"/>
  <c r="Z9" i="45"/>
  <c r="Y9" i="45"/>
  <c r="X9" i="45"/>
  <c r="W9" i="45"/>
  <c r="V9" i="45"/>
  <c r="U9" i="45"/>
  <c r="T9" i="45"/>
  <c r="S9" i="45"/>
  <c r="R9" i="45"/>
  <c r="Q9" i="45"/>
  <c r="P9" i="45"/>
  <c r="O9" i="45"/>
  <c r="N9" i="45"/>
  <c r="I2" i="45"/>
  <c r="F1" i="45"/>
  <c r="AG37" i="44"/>
  <c r="AF37" i="44"/>
  <c r="AE37" i="44"/>
  <c r="AD37" i="44"/>
  <c r="AC37" i="44"/>
  <c r="AB37" i="44"/>
  <c r="AA37" i="44"/>
  <c r="Z37" i="44"/>
  <c r="Y37" i="44"/>
  <c r="X37" i="44"/>
  <c r="W37" i="44"/>
  <c r="V37" i="44"/>
  <c r="U37" i="44"/>
  <c r="T37" i="44"/>
  <c r="S37" i="44"/>
  <c r="R37" i="44"/>
  <c r="Q37" i="44"/>
  <c r="P37" i="44"/>
  <c r="O37" i="44"/>
  <c r="N37" i="44"/>
  <c r="AG29" i="44"/>
  <c r="AF29" i="44"/>
  <c r="AE29" i="44"/>
  <c r="AD29" i="44"/>
  <c r="AC29" i="44"/>
  <c r="AB29" i="44"/>
  <c r="AA29" i="44"/>
  <c r="Z29" i="44"/>
  <c r="Y29" i="44"/>
  <c r="X29" i="44"/>
  <c r="W29" i="44"/>
  <c r="V29" i="44"/>
  <c r="U29" i="44"/>
  <c r="T29" i="44"/>
  <c r="S29" i="44"/>
  <c r="R29" i="44"/>
  <c r="Q29" i="44"/>
  <c r="P29" i="44"/>
  <c r="O29" i="44"/>
  <c r="N29" i="44"/>
  <c r="AG28" i="44"/>
  <c r="AF28" i="44"/>
  <c r="AE28" i="44"/>
  <c r="AD28" i="44"/>
  <c r="AC28" i="44"/>
  <c r="AB28" i="44"/>
  <c r="AA28" i="44"/>
  <c r="Z28" i="44"/>
  <c r="Y28" i="44"/>
  <c r="X28" i="44"/>
  <c r="W28" i="44"/>
  <c r="V28" i="44"/>
  <c r="U28" i="44"/>
  <c r="T28" i="44"/>
  <c r="S28" i="44"/>
  <c r="R28" i="44"/>
  <c r="Q28" i="44"/>
  <c r="P28" i="44"/>
  <c r="O28" i="44"/>
  <c r="N28" i="44"/>
  <c r="AG27" i="44"/>
  <c r="AF27" i="44"/>
  <c r="AE27" i="44"/>
  <c r="AD27" i="44"/>
  <c r="AC27" i="44"/>
  <c r="AB27" i="44"/>
  <c r="AA27" i="44"/>
  <c r="Z27" i="44"/>
  <c r="Y27" i="44"/>
  <c r="X27" i="44"/>
  <c r="W27" i="44"/>
  <c r="V27" i="44"/>
  <c r="U27" i="44"/>
  <c r="T27" i="44"/>
  <c r="S27" i="44"/>
  <c r="R27" i="44"/>
  <c r="Q27" i="44"/>
  <c r="P27" i="44"/>
  <c r="O27" i="44"/>
  <c r="N27" i="44"/>
  <c r="AG26" i="44"/>
  <c r="AF26" i="44"/>
  <c r="AE26" i="44"/>
  <c r="AD26" i="44"/>
  <c r="AC26" i="44"/>
  <c r="AB26" i="44"/>
  <c r="AA26" i="44"/>
  <c r="Z26" i="44"/>
  <c r="Y26" i="44"/>
  <c r="X26" i="44"/>
  <c r="W26" i="44"/>
  <c r="V26" i="44"/>
  <c r="U26" i="44"/>
  <c r="T26" i="44"/>
  <c r="S26" i="44"/>
  <c r="R26" i="44"/>
  <c r="Q26" i="44"/>
  <c r="P26" i="44"/>
  <c r="O26" i="44"/>
  <c r="N26" i="44"/>
  <c r="AG25" i="44"/>
  <c r="AF25" i="44"/>
  <c r="AE25" i="44"/>
  <c r="AD25" i="44"/>
  <c r="AC25" i="44"/>
  <c r="AB25" i="44"/>
  <c r="AA25" i="44"/>
  <c r="Z25" i="44"/>
  <c r="Y25" i="44"/>
  <c r="X25" i="44"/>
  <c r="W25" i="44"/>
  <c r="V25" i="44"/>
  <c r="U25" i="44"/>
  <c r="T25" i="44"/>
  <c r="S25" i="44"/>
  <c r="R25" i="44"/>
  <c r="Q25" i="44"/>
  <c r="P25" i="44"/>
  <c r="O25" i="44"/>
  <c r="N25" i="44"/>
  <c r="AG24" i="44"/>
  <c r="AF24" i="44"/>
  <c r="AE24" i="44"/>
  <c r="AD24" i="44"/>
  <c r="AC24" i="44"/>
  <c r="AB24" i="44"/>
  <c r="AA24" i="44"/>
  <c r="Z24" i="44"/>
  <c r="Y24" i="44"/>
  <c r="X24" i="44"/>
  <c r="W24" i="44"/>
  <c r="V24" i="44"/>
  <c r="U24" i="44"/>
  <c r="T24" i="44"/>
  <c r="S24" i="44"/>
  <c r="R24" i="44"/>
  <c r="Q24" i="44"/>
  <c r="P24" i="44"/>
  <c r="O24" i="44"/>
  <c r="N24" i="44"/>
  <c r="AG23" i="44"/>
  <c r="AF23" i="44"/>
  <c r="AE23" i="44"/>
  <c r="AD23" i="44"/>
  <c r="AC23" i="44"/>
  <c r="AB23" i="44"/>
  <c r="AA23" i="44"/>
  <c r="Z23" i="44"/>
  <c r="Y23" i="44"/>
  <c r="X23" i="44"/>
  <c r="W23" i="44"/>
  <c r="V23" i="44"/>
  <c r="U23" i="44"/>
  <c r="T23" i="44"/>
  <c r="S23" i="44"/>
  <c r="R23" i="44"/>
  <c r="Q23" i="44"/>
  <c r="P23" i="44"/>
  <c r="O23" i="44"/>
  <c r="N23" i="44"/>
  <c r="AG22" i="44"/>
  <c r="AF22" i="44"/>
  <c r="AE22" i="44"/>
  <c r="AD22" i="44"/>
  <c r="AC22" i="44"/>
  <c r="AB22" i="44"/>
  <c r="AA22" i="44"/>
  <c r="Z22" i="44"/>
  <c r="Y22" i="44"/>
  <c r="X22" i="44"/>
  <c r="W22" i="44"/>
  <c r="V22" i="44"/>
  <c r="U22" i="44"/>
  <c r="T22" i="44"/>
  <c r="S22" i="44"/>
  <c r="R22" i="44"/>
  <c r="Q22" i="44"/>
  <c r="P22" i="44"/>
  <c r="O22" i="44"/>
  <c r="N22" i="44"/>
  <c r="AG21" i="44"/>
  <c r="AF21" i="44"/>
  <c r="AE21" i="44"/>
  <c r="AD21" i="44"/>
  <c r="AC21" i="44"/>
  <c r="AB21" i="44"/>
  <c r="AA21" i="44"/>
  <c r="Z21" i="44"/>
  <c r="Y21" i="44"/>
  <c r="X21" i="44"/>
  <c r="W21" i="44"/>
  <c r="V21" i="44"/>
  <c r="U21" i="44"/>
  <c r="T21" i="44"/>
  <c r="S21" i="44"/>
  <c r="R21" i="44"/>
  <c r="Q21" i="44"/>
  <c r="P21" i="44"/>
  <c r="O21" i="44"/>
  <c r="N21" i="44"/>
  <c r="AG20" i="44"/>
  <c r="AF20" i="44"/>
  <c r="AE20" i="44"/>
  <c r="AD20" i="44"/>
  <c r="AC20" i="44"/>
  <c r="AB20" i="44"/>
  <c r="AA20" i="44"/>
  <c r="Z20" i="44"/>
  <c r="Y20" i="44"/>
  <c r="X20" i="44"/>
  <c r="W20" i="44"/>
  <c r="V20" i="44"/>
  <c r="U20" i="44"/>
  <c r="T20" i="44"/>
  <c r="S20" i="44"/>
  <c r="R20" i="44"/>
  <c r="Q20" i="44"/>
  <c r="P20" i="44"/>
  <c r="O20" i="44"/>
  <c r="N20" i="44"/>
  <c r="AG19" i="44"/>
  <c r="AF19" i="44"/>
  <c r="AE19" i="44"/>
  <c r="AD19" i="44"/>
  <c r="AC19" i="44"/>
  <c r="AB19" i="44"/>
  <c r="AA19" i="44"/>
  <c r="Z19" i="44"/>
  <c r="Y19" i="44"/>
  <c r="X19" i="44"/>
  <c r="W19" i="44"/>
  <c r="V19" i="44"/>
  <c r="U19" i="44"/>
  <c r="T19" i="44"/>
  <c r="S19" i="44"/>
  <c r="R19" i="44"/>
  <c r="Q19" i="44"/>
  <c r="P19" i="44"/>
  <c r="O19" i="44"/>
  <c r="N19" i="44"/>
  <c r="AG18" i="44"/>
  <c r="AF18" i="44"/>
  <c r="AE18" i="44"/>
  <c r="AD18" i="44"/>
  <c r="AC18" i="44"/>
  <c r="AB18" i="44"/>
  <c r="AA18" i="44"/>
  <c r="Z18" i="44"/>
  <c r="Y18" i="44"/>
  <c r="X18" i="44"/>
  <c r="W18" i="44"/>
  <c r="V18" i="44"/>
  <c r="U18" i="44"/>
  <c r="T18" i="44"/>
  <c r="S18" i="44"/>
  <c r="R18" i="44"/>
  <c r="Q18" i="44"/>
  <c r="P18" i="44"/>
  <c r="O18" i="44"/>
  <c r="N18" i="44"/>
  <c r="AG17" i="44"/>
  <c r="AF17" i="44"/>
  <c r="AE17" i="44"/>
  <c r="AD17" i="44"/>
  <c r="AC17" i="44"/>
  <c r="AB17" i="44"/>
  <c r="AA17" i="44"/>
  <c r="Z17" i="44"/>
  <c r="Y17" i="44"/>
  <c r="X17" i="44"/>
  <c r="W17" i="44"/>
  <c r="V17" i="44"/>
  <c r="U17" i="44"/>
  <c r="T17" i="44"/>
  <c r="S17" i="44"/>
  <c r="R17" i="44"/>
  <c r="Q17" i="44"/>
  <c r="P17" i="44"/>
  <c r="O17" i="44"/>
  <c r="N17" i="44"/>
  <c r="AG16" i="44"/>
  <c r="AF16" i="44"/>
  <c r="AE16" i="44"/>
  <c r="AD16" i="44"/>
  <c r="AC16" i="44"/>
  <c r="AB16" i="44"/>
  <c r="AA16" i="44"/>
  <c r="Z16" i="44"/>
  <c r="Y16" i="44"/>
  <c r="X16" i="44"/>
  <c r="W16" i="44"/>
  <c r="V16" i="44"/>
  <c r="U16" i="44"/>
  <c r="T16" i="44"/>
  <c r="S16" i="44"/>
  <c r="R16" i="44"/>
  <c r="Q16" i="44"/>
  <c r="P16" i="44"/>
  <c r="O16" i="44"/>
  <c r="N16" i="44"/>
  <c r="AG15" i="44"/>
  <c r="AF15" i="44"/>
  <c r="AE15" i="44"/>
  <c r="AD15" i="44"/>
  <c r="AC15" i="44"/>
  <c r="AB15" i="44"/>
  <c r="AA15" i="44"/>
  <c r="Z15" i="44"/>
  <c r="Y15" i="44"/>
  <c r="X15" i="44"/>
  <c r="W15" i="44"/>
  <c r="V15" i="44"/>
  <c r="U15" i="44"/>
  <c r="T15" i="44"/>
  <c r="S15" i="44"/>
  <c r="R15" i="44"/>
  <c r="Q15" i="44"/>
  <c r="P15" i="44"/>
  <c r="O15" i="44"/>
  <c r="N15" i="44"/>
  <c r="AG14" i="44"/>
  <c r="AF14" i="44"/>
  <c r="AE14" i="44"/>
  <c r="AD14" i="44"/>
  <c r="AC14" i="44"/>
  <c r="AB14" i="44"/>
  <c r="AA14" i="44"/>
  <c r="Z14" i="44"/>
  <c r="Y14" i="44"/>
  <c r="X14" i="44"/>
  <c r="W14" i="44"/>
  <c r="V14" i="44"/>
  <c r="U14" i="44"/>
  <c r="T14" i="44"/>
  <c r="S14" i="44"/>
  <c r="R14" i="44"/>
  <c r="Q14" i="44"/>
  <c r="P14" i="44"/>
  <c r="O14" i="44"/>
  <c r="N14" i="44"/>
  <c r="AG13" i="44"/>
  <c r="AF13" i="44"/>
  <c r="AE13" i="44"/>
  <c r="AD13" i="44"/>
  <c r="AC13" i="44"/>
  <c r="AB13" i="44"/>
  <c r="AA13" i="44"/>
  <c r="Z13" i="44"/>
  <c r="Y13" i="44"/>
  <c r="X13" i="44"/>
  <c r="W13" i="44"/>
  <c r="V13" i="44"/>
  <c r="U13" i="44"/>
  <c r="T13" i="44"/>
  <c r="S13" i="44"/>
  <c r="R13" i="44"/>
  <c r="Q13" i="44"/>
  <c r="P13" i="44"/>
  <c r="O13" i="44"/>
  <c r="N13" i="44"/>
  <c r="AG12" i="44"/>
  <c r="AF12" i="44"/>
  <c r="AE12" i="44"/>
  <c r="AD12" i="44"/>
  <c r="AC12" i="44"/>
  <c r="AB12" i="44"/>
  <c r="AA12" i="44"/>
  <c r="Z12" i="44"/>
  <c r="Y12" i="44"/>
  <c r="X12" i="44"/>
  <c r="W12" i="44"/>
  <c r="V12" i="44"/>
  <c r="U12" i="44"/>
  <c r="T12" i="44"/>
  <c r="S12" i="44"/>
  <c r="R12" i="44"/>
  <c r="Q12" i="44"/>
  <c r="P12" i="44"/>
  <c r="O12" i="44"/>
  <c r="N12" i="44"/>
  <c r="AG11" i="44"/>
  <c r="AF11" i="44"/>
  <c r="AE11" i="44"/>
  <c r="AD11" i="44"/>
  <c r="AC11" i="44"/>
  <c r="AB11" i="44"/>
  <c r="AA11" i="44"/>
  <c r="Z11" i="44"/>
  <c r="Y11" i="44"/>
  <c r="X11" i="44"/>
  <c r="W11" i="44"/>
  <c r="V11" i="44"/>
  <c r="U11" i="44"/>
  <c r="T11" i="44"/>
  <c r="S11" i="44"/>
  <c r="R11" i="44"/>
  <c r="Q11" i="44"/>
  <c r="P11" i="44"/>
  <c r="O11" i="44"/>
  <c r="N11" i="44"/>
  <c r="AG10" i="44"/>
  <c r="AF10" i="44"/>
  <c r="AE10" i="44"/>
  <c r="AD10" i="44"/>
  <c r="AC10" i="44"/>
  <c r="AB10" i="44"/>
  <c r="AA10" i="44"/>
  <c r="Z10" i="44"/>
  <c r="Y10" i="44"/>
  <c r="X10" i="44"/>
  <c r="W10" i="44"/>
  <c r="V10" i="44"/>
  <c r="U10" i="44"/>
  <c r="T10" i="44"/>
  <c r="S10" i="44"/>
  <c r="R10" i="44"/>
  <c r="Q10" i="44"/>
  <c r="P10" i="44"/>
  <c r="O10" i="44"/>
  <c r="N10" i="44"/>
  <c r="N34" i="44" s="1"/>
  <c r="AG9" i="44"/>
  <c r="AF9" i="44"/>
  <c r="AE9" i="44"/>
  <c r="AD9" i="44"/>
  <c r="AC9" i="44"/>
  <c r="AB9" i="44"/>
  <c r="AA9" i="44"/>
  <c r="Z9" i="44"/>
  <c r="Y9" i="44"/>
  <c r="X9" i="44"/>
  <c r="W9" i="44"/>
  <c r="V9" i="44"/>
  <c r="U9" i="44"/>
  <c r="T9" i="44"/>
  <c r="S9" i="44"/>
  <c r="R9" i="44"/>
  <c r="Q9" i="44"/>
  <c r="P9" i="44"/>
  <c r="O9" i="44"/>
  <c r="N9" i="44"/>
  <c r="I2" i="44"/>
  <c r="F1" i="44"/>
  <c r="AG36" i="43"/>
  <c r="AF36" i="43"/>
  <c r="AE36" i="43"/>
  <c r="AD36" i="43"/>
  <c r="AC36" i="43"/>
  <c r="AB36" i="43"/>
  <c r="AA36" i="43"/>
  <c r="Z36" i="43"/>
  <c r="Y36" i="43"/>
  <c r="X36" i="43"/>
  <c r="W36" i="43"/>
  <c r="V36" i="43"/>
  <c r="U36" i="43"/>
  <c r="T36" i="43"/>
  <c r="S36" i="43"/>
  <c r="R36" i="43"/>
  <c r="Q36" i="43"/>
  <c r="P36" i="43"/>
  <c r="O36" i="43"/>
  <c r="N36" i="43"/>
  <c r="AG29" i="43"/>
  <c r="AF29" i="43"/>
  <c r="AE29" i="43"/>
  <c r="AD29" i="43"/>
  <c r="AC29" i="43"/>
  <c r="AB29" i="43"/>
  <c r="AA29" i="43"/>
  <c r="Z29" i="43"/>
  <c r="Y29" i="43"/>
  <c r="X29" i="43"/>
  <c r="W29" i="43"/>
  <c r="V29" i="43"/>
  <c r="U29" i="43"/>
  <c r="T29" i="43"/>
  <c r="S29" i="43"/>
  <c r="R29" i="43"/>
  <c r="Q29" i="43"/>
  <c r="P29" i="43"/>
  <c r="O29" i="43"/>
  <c r="N29" i="43"/>
  <c r="AG28" i="43"/>
  <c r="AF28" i="43"/>
  <c r="AE28" i="43"/>
  <c r="AD28" i="43"/>
  <c r="AC28" i="43"/>
  <c r="AB28" i="43"/>
  <c r="AA28" i="43"/>
  <c r="Z28" i="43"/>
  <c r="Y28" i="43"/>
  <c r="X28" i="43"/>
  <c r="W28" i="43"/>
  <c r="V28" i="43"/>
  <c r="U28" i="43"/>
  <c r="T28" i="43"/>
  <c r="S28" i="43"/>
  <c r="R28" i="43"/>
  <c r="Q28" i="43"/>
  <c r="P28" i="43"/>
  <c r="O28" i="43"/>
  <c r="N28" i="43"/>
  <c r="AG27" i="43"/>
  <c r="AF27" i="43"/>
  <c r="AE27" i="43"/>
  <c r="AD27" i="43"/>
  <c r="AC27" i="43"/>
  <c r="AB27" i="43"/>
  <c r="AA27" i="43"/>
  <c r="Z27" i="43"/>
  <c r="Y27" i="43"/>
  <c r="X27" i="43"/>
  <c r="W27" i="43"/>
  <c r="V27" i="43"/>
  <c r="U27" i="43"/>
  <c r="T27" i="43"/>
  <c r="S27" i="43"/>
  <c r="R27" i="43"/>
  <c r="Q27" i="43"/>
  <c r="P27" i="43"/>
  <c r="O27" i="43"/>
  <c r="N27" i="43"/>
  <c r="AG26" i="43"/>
  <c r="AF26" i="43"/>
  <c r="AE26" i="43"/>
  <c r="AD26" i="43"/>
  <c r="AC26" i="43"/>
  <c r="AB26" i="43"/>
  <c r="AA26" i="43"/>
  <c r="Z26" i="43"/>
  <c r="Y26" i="43"/>
  <c r="X26" i="43"/>
  <c r="W26" i="43"/>
  <c r="V26" i="43"/>
  <c r="U26" i="43"/>
  <c r="T26" i="43"/>
  <c r="S26" i="43"/>
  <c r="R26" i="43"/>
  <c r="Q26" i="43"/>
  <c r="P26" i="43"/>
  <c r="O26" i="43"/>
  <c r="N26" i="43"/>
  <c r="AG25" i="43"/>
  <c r="AF25" i="43"/>
  <c r="AE25" i="43"/>
  <c r="AD25" i="43"/>
  <c r="AC25" i="43"/>
  <c r="AB25" i="43"/>
  <c r="AA25" i="43"/>
  <c r="Z25" i="43"/>
  <c r="Y25" i="43"/>
  <c r="X25" i="43"/>
  <c r="W25" i="43"/>
  <c r="V25" i="43"/>
  <c r="U25" i="43"/>
  <c r="T25" i="43"/>
  <c r="S25" i="43"/>
  <c r="R25" i="43"/>
  <c r="Q25" i="43"/>
  <c r="P25" i="43"/>
  <c r="O25" i="43"/>
  <c r="N25" i="43"/>
  <c r="AG24" i="43"/>
  <c r="AF24" i="43"/>
  <c r="AE24" i="43"/>
  <c r="AD24" i="43"/>
  <c r="AC24" i="43"/>
  <c r="AB24" i="43"/>
  <c r="AA24" i="43"/>
  <c r="Z24" i="43"/>
  <c r="Y24" i="43"/>
  <c r="X24" i="43"/>
  <c r="W24" i="43"/>
  <c r="V24" i="43"/>
  <c r="U24" i="43"/>
  <c r="T24" i="43"/>
  <c r="S24" i="43"/>
  <c r="R24" i="43"/>
  <c r="Q24" i="43"/>
  <c r="P24" i="43"/>
  <c r="O24" i="43"/>
  <c r="N24" i="43"/>
  <c r="AG23" i="43"/>
  <c r="AF23" i="43"/>
  <c r="AE23" i="43"/>
  <c r="AD23" i="43"/>
  <c r="AC23" i="43"/>
  <c r="AB23" i="43"/>
  <c r="AA23" i="43"/>
  <c r="Z23" i="43"/>
  <c r="Y23" i="43"/>
  <c r="X23" i="43"/>
  <c r="W23" i="43"/>
  <c r="V23" i="43"/>
  <c r="U23" i="43"/>
  <c r="T23" i="43"/>
  <c r="S23" i="43"/>
  <c r="R23" i="43"/>
  <c r="Q23" i="43"/>
  <c r="P23" i="43"/>
  <c r="O23" i="43"/>
  <c r="N23" i="43"/>
  <c r="AG22" i="43"/>
  <c r="AF22" i="43"/>
  <c r="AE22" i="43"/>
  <c r="AD22" i="43"/>
  <c r="AC22" i="43"/>
  <c r="AB22" i="43"/>
  <c r="AA22" i="43"/>
  <c r="Z22" i="43"/>
  <c r="Y22" i="43"/>
  <c r="X22" i="43"/>
  <c r="W22" i="43"/>
  <c r="V22" i="43"/>
  <c r="U22" i="43"/>
  <c r="T22" i="43"/>
  <c r="S22" i="43"/>
  <c r="R22" i="43"/>
  <c r="Q22" i="43"/>
  <c r="P22" i="43"/>
  <c r="O22" i="43"/>
  <c r="N22" i="43"/>
  <c r="AG21" i="43"/>
  <c r="AF21" i="43"/>
  <c r="AE21" i="43"/>
  <c r="AD21" i="43"/>
  <c r="AC21" i="43"/>
  <c r="AB21" i="43"/>
  <c r="AA21" i="43"/>
  <c r="Z21" i="43"/>
  <c r="Y21" i="43"/>
  <c r="X21" i="43"/>
  <c r="W21" i="43"/>
  <c r="V21" i="43"/>
  <c r="U21" i="43"/>
  <c r="T21" i="43"/>
  <c r="S21" i="43"/>
  <c r="R21" i="43"/>
  <c r="Q21" i="43"/>
  <c r="P21" i="43"/>
  <c r="O21" i="43"/>
  <c r="N21" i="43"/>
  <c r="AG20" i="43"/>
  <c r="AF20" i="43"/>
  <c r="AE20" i="43"/>
  <c r="AD20" i="43"/>
  <c r="AC20" i="43"/>
  <c r="AB20" i="43"/>
  <c r="AA20" i="43"/>
  <c r="Z20" i="43"/>
  <c r="Y20" i="43"/>
  <c r="X20" i="43"/>
  <c r="W20" i="43"/>
  <c r="V20" i="43"/>
  <c r="U20" i="43"/>
  <c r="T20" i="43"/>
  <c r="S20" i="43"/>
  <c r="R20" i="43"/>
  <c r="Q20" i="43"/>
  <c r="P20" i="43"/>
  <c r="O20" i="43"/>
  <c r="N20" i="43"/>
  <c r="AG19" i="43"/>
  <c r="AF19" i="43"/>
  <c r="AE19" i="43"/>
  <c r="AD19" i="43"/>
  <c r="AC19" i="43"/>
  <c r="AB19" i="43"/>
  <c r="AA19" i="43"/>
  <c r="Z19" i="43"/>
  <c r="Y19" i="43"/>
  <c r="X19" i="43"/>
  <c r="W19" i="43"/>
  <c r="V19" i="43"/>
  <c r="U19" i="43"/>
  <c r="T19" i="43"/>
  <c r="S19" i="43"/>
  <c r="R19" i="43"/>
  <c r="Q19" i="43"/>
  <c r="P19" i="43"/>
  <c r="O19" i="43"/>
  <c r="N19" i="43"/>
  <c r="AG18" i="43"/>
  <c r="AF18" i="43"/>
  <c r="AE18" i="43"/>
  <c r="AD18" i="43"/>
  <c r="AC18" i="43"/>
  <c r="AB18" i="43"/>
  <c r="AA18" i="43"/>
  <c r="Z18" i="43"/>
  <c r="Y18" i="43"/>
  <c r="X18" i="43"/>
  <c r="W18" i="43"/>
  <c r="V18" i="43"/>
  <c r="U18" i="43"/>
  <c r="T18" i="43"/>
  <c r="S18" i="43"/>
  <c r="R18" i="43"/>
  <c r="Q18" i="43"/>
  <c r="P18" i="43"/>
  <c r="O18" i="43"/>
  <c r="N18" i="43"/>
  <c r="AG17" i="43"/>
  <c r="AF17" i="43"/>
  <c r="AE17" i="43"/>
  <c r="AD17" i="43"/>
  <c r="AC17" i="43"/>
  <c r="AB17" i="43"/>
  <c r="AA17" i="43"/>
  <c r="Z17" i="43"/>
  <c r="Y17" i="43"/>
  <c r="X17" i="43"/>
  <c r="W17" i="43"/>
  <c r="V17" i="43"/>
  <c r="U17" i="43"/>
  <c r="T17" i="43"/>
  <c r="S17" i="43"/>
  <c r="R17" i="43"/>
  <c r="Q17" i="43"/>
  <c r="P17" i="43"/>
  <c r="O17" i="43"/>
  <c r="N17" i="43"/>
  <c r="AG16" i="43"/>
  <c r="AF16" i="43"/>
  <c r="AE16" i="43"/>
  <c r="AD16" i="43"/>
  <c r="AC16" i="43"/>
  <c r="AB16" i="43"/>
  <c r="AA16" i="43"/>
  <c r="Z16" i="43"/>
  <c r="Y16" i="43"/>
  <c r="X16" i="43"/>
  <c r="W16" i="43"/>
  <c r="V16" i="43"/>
  <c r="U16" i="43"/>
  <c r="T16" i="43"/>
  <c r="S16" i="43"/>
  <c r="R16" i="43"/>
  <c r="Q16" i="43"/>
  <c r="P16" i="43"/>
  <c r="O16" i="43"/>
  <c r="N16" i="43"/>
  <c r="AG15" i="43"/>
  <c r="AF15" i="43"/>
  <c r="AE15" i="43"/>
  <c r="AD15" i="43"/>
  <c r="AC15" i="43"/>
  <c r="AB15" i="43"/>
  <c r="AA15" i="43"/>
  <c r="Z15" i="43"/>
  <c r="Y15" i="43"/>
  <c r="X15" i="43"/>
  <c r="W15" i="43"/>
  <c r="V15" i="43"/>
  <c r="U15" i="43"/>
  <c r="T15" i="43"/>
  <c r="S15" i="43"/>
  <c r="R15" i="43"/>
  <c r="Q15" i="43"/>
  <c r="P15" i="43"/>
  <c r="O15" i="43"/>
  <c r="N15" i="43"/>
  <c r="AG14" i="43"/>
  <c r="AF14" i="43"/>
  <c r="AE14" i="43"/>
  <c r="AD14" i="43"/>
  <c r="AC14" i="43"/>
  <c r="AB14" i="43"/>
  <c r="AA14" i="43"/>
  <c r="Z14" i="43"/>
  <c r="Y14" i="43"/>
  <c r="X14" i="43"/>
  <c r="W14" i="43"/>
  <c r="V14" i="43"/>
  <c r="U14" i="43"/>
  <c r="T14" i="43"/>
  <c r="S14" i="43"/>
  <c r="R14" i="43"/>
  <c r="Q14" i="43"/>
  <c r="P14" i="43"/>
  <c r="O14" i="43"/>
  <c r="N14" i="43"/>
  <c r="AG13" i="43"/>
  <c r="AF13" i="43"/>
  <c r="AE13" i="43"/>
  <c r="AD13" i="43"/>
  <c r="AC13" i="43"/>
  <c r="AB13" i="43"/>
  <c r="AA13" i="43"/>
  <c r="Z13" i="43"/>
  <c r="Y13" i="43"/>
  <c r="X13" i="43"/>
  <c r="W13" i="43"/>
  <c r="V13" i="43"/>
  <c r="U13" i="43"/>
  <c r="T13" i="43"/>
  <c r="S13" i="43"/>
  <c r="R13" i="43"/>
  <c r="Q13" i="43"/>
  <c r="P13" i="43"/>
  <c r="O13" i="43"/>
  <c r="N13" i="43"/>
  <c r="AG12" i="43"/>
  <c r="AF12" i="43"/>
  <c r="AE12" i="43"/>
  <c r="AD12" i="43"/>
  <c r="AC12" i="43"/>
  <c r="AB12" i="43"/>
  <c r="AA12" i="43"/>
  <c r="Z12" i="43"/>
  <c r="Y12" i="43"/>
  <c r="X12" i="43"/>
  <c r="W12" i="43"/>
  <c r="V12" i="43"/>
  <c r="U12" i="43"/>
  <c r="T12" i="43"/>
  <c r="S12" i="43"/>
  <c r="R12" i="43"/>
  <c r="Q12" i="43"/>
  <c r="P12" i="43"/>
  <c r="O12" i="43"/>
  <c r="N12" i="43"/>
  <c r="AG11" i="43"/>
  <c r="AF11" i="43"/>
  <c r="AE11" i="43"/>
  <c r="AD11" i="43"/>
  <c r="AC11" i="43"/>
  <c r="AB11" i="43"/>
  <c r="AA11" i="43"/>
  <c r="Z11" i="43"/>
  <c r="Y11" i="43"/>
  <c r="X11" i="43"/>
  <c r="W11" i="43"/>
  <c r="V11" i="43"/>
  <c r="U11" i="43"/>
  <c r="T11" i="43"/>
  <c r="S11" i="43"/>
  <c r="R11" i="43"/>
  <c r="Q11" i="43"/>
  <c r="P11" i="43"/>
  <c r="O11" i="43"/>
  <c r="N11" i="43"/>
  <c r="AG10" i="43"/>
  <c r="AF10" i="43"/>
  <c r="AE10" i="43"/>
  <c r="AD10" i="43"/>
  <c r="AC10" i="43"/>
  <c r="AB10" i="43"/>
  <c r="AA10" i="43"/>
  <c r="Z10" i="43"/>
  <c r="Y10" i="43"/>
  <c r="X10" i="43"/>
  <c r="W10" i="43"/>
  <c r="V10" i="43"/>
  <c r="U10" i="43"/>
  <c r="T10" i="43"/>
  <c r="S10" i="43"/>
  <c r="R10" i="43"/>
  <c r="Q10" i="43"/>
  <c r="P10" i="43"/>
  <c r="O10" i="43"/>
  <c r="N10" i="43"/>
  <c r="AG9" i="43"/>
  <c r="AF9" i="43"/>
  <c r="AE9" i="43"/>
  <c r="AD9" i="43"/>
  <c r="AC9" i="43"/>
  <c r="AB9" i="43"/>
  <c r="AA9" i="43"/>
  <c r="Z9" i="43"/>
  <c r="Y9" i="43"/>
  <c r="X9" i="43"/>
  <c r="W9" i="43"/>
  <c r="V9" i="43"/>
  <c r="U9" i="43"/>
  <c r="T9" i="43"/>
  <c r="S9" i="43"/>
  <c r="R9" i="43"/>
  <c r="Q9" i="43"/>
  <c r="P9" i="43"/>
  <c r="O9" i="43"/>
  <c r="N9" i="43"/>
  <c r="I2" i="43"/>
  <c r="F1" i="43"/>
  <c r="AG35" i="42"/>
  <c r="AF35" i="42"/>
  <c r="AE35" i="42"/>
  <c r="AD35" i="42"/>
  <c r="AC35" i="42"/>
  <c r="AB35" i="42"/>
  <c r="AA35" i="42"/>
  <c r="Z35" i="42"/>
  <c r="Y35" i="42"/>
  <c r="X35" i="42"/>
  <c r="W35" i="42"/>
  <c r="V35" i="42"/>
  <c r="U35" i="42"/>
  <c r="T35" i="42"/>
  <c r="S35" i="42"/>
  <c r="R35" i="42"/>
  <c r="Q35" i="42"/>
  <c r="P35" i="42"/>
  <c r="O35" i="42"/>
  <c r="N35" i="42"/>
  <c r="AG29" i="42"/>
  <c r="AF29" i="42"/>
  <c r="AE29" i="42"/>
  <c r="AD29" i="42"/>
  <c r="AC29" i="42"/>
  <c r="AB29" i="42"/>
  <c r="AA29" i="42"/>
  <c r="Z29" i="42"/>
  <c r="Y29" i="42"/>
  <c r="X29" i="42"/>
  <c r="W29" i="42"/>
  <c r="V29" i="42"/>
  <c r="U29" i="42"/>
  <c r="T29" i="42"/>
  <c r="S29" i="42"/>
  <c r="R29" i="42"/>
  <c r="Q29" i="42"/>
  <c r="P29" i="42"/>
  <c r="O29" i="42"/>
  <c r="N29" i="42"/>
  <c r="AG28" i="42"/>
  <c r="AF28" i="42"/>
  <c r="AE28" i="42"/>
  <c r="AD28" i="42"/>
  <c r="AC28" i="42"/>
  <c r="AB28" i="42"/>
  <c r="AA28" i="42"/>
  <c r="Z28" i="42"/>
  <c r="Y28" i="42"/>
  <c r="X28" i="42"/>
  <c r="W28" i="42"/>
  <c r="V28" i="42"/>
  <c r="U28" i="42"/>
  <c r="T28" i="42"/>
  <c r="S28" i="42"/>
  <c r="R28" i="42"/>
  <c r="Q28" i="42"/>
  <c r="P28" i="42"/>
  <c r="O28" i="42"/>
  <c r="N28" i="42"/>
  <c r="AG27" i="42"/>
  <c r="AF27" i="42"/>
  <c r="AE27" i="42"/>
  <c r="AD27" i="42"/>
  <c r="AC27" i="42"/>
  <c r="AB27" i="42"/>
  <c r="AA27" i="42"/>
  <c r="Z27" i="42"/>
  <c r="Y27" i="42"/>
  <c r="X27" i="42"/>
  <c r="W27" i="42"/>
  <c r="V27" i="42"/>
  <c r="U27" i="42"/>
  <c r="T27" i="42"/>
  <c r="S27" i="42"/>
  <c r="R27" i="42"/>
  <c r="Q27" i="42"/>
  <c r="P27" i="42"/>
  <c r="O27" i="42"/>
  <c r="N27" i="42"/>
  <c r="AG26" i="42"/>
  <c r="AF26" i="42"/>
  <c r="AE26" i="42"/>
  <c r="AD26" i="42"/>
  <c r="AC26" i="42"/>
  <c r="AB26" i="42"/>
  <c r="AA26" i="42"/>
  <c r="Z26" i="42"/>
  <c r="Y26" i="42"/>
  <c r="X26" i="42"/>
  <c r="W26" i="42"/>
  <c r="V26" i="42"/>
  <c r="U26" i="42"/>
  <c r="T26" i="42"/>
  <c r="S26" i="42"/>
  <c r="R26" i="42"/>
  <c r="Q26" i="42"/>
  <c r="P26" i="42"/>
  <c r="O26" i="42"/>
  <c r="N26" i="42"/>
  <c r="AG25" i="42"/>
  <c r="AF25" i="42"/>
  <c r="AE25" i="42"/>
  <c r="AD25" i="42"/>
  <c r="AC25" i="42"/>
  <c r="AB25" i="42"/>
  <c r="AA25" i="42"/>
  <c r="Z25" i="42"/>
  <c r="Y25" i="42"/>
  <c r="X25" i="42"/>
  <c r="W25" i="42"/>
  <c r="V25" i="42"/>
  <c r="U25" i="42"/>
  <c r="T25" i="42"/>
  <c r="S25" i="42"/>
  <c r="R25" i="42"/>
  <c r="Q25" i="42"/>
  <c r="P25" i="42"/>
  <c r="O25" i="42"/>
  <c r="N25" i="42"/>
  <c r="AG24" i="42"/>
  <c r="AF24" i="42"/>
  <c r="AE24" i="42"/>
  <c r="AD24" i="42"/>
  <c r="AC24" i="42"/>
  <c r="AB24" i="42"/>
  <c r="AA24" i="42"/>
  <c r="Z24" i="42"/>
  <c r="Y24" i="42"/>
  <c r="X24" i="42"/>
  <c r="W24" i="42"/>
  <c r="V24" i="42"/>
  <c r="U24" i="42"/>
  <c r="T24" i="42"/>
  <c r="S24" i="42"/>
  <c r="R24" i="42"/>
  <c r="Q24" i="42"/>
  <c r="P24" i="42"/>
  <c r="O24" i="42"/>
  <c r="N24" i="42"/>
  <c r="AG23" i="42"/>
  <c r="AF23" i="42"/>
  <c r="AE23" i="42"/>
  <c r="AD23" i="42"/>
  <c r="AC23" i="42"/>
  <c r="AB23" i="42"/>
  <c r="AA23" i="42"/>
  <c r="Z23" i="42"/>
  <c r="Y23" i="42"/>
  <c r="X23" i="42"/>
  <c r="W23" i="42"/>
  <c r="V23" i="42"/>
  <c r="U23" i="42"/>
  <c r="T23" i="42"/>
  <c r="S23" i="42"/>
  <c r="R23" i="42"/>
  <c r="Q23" i="42"/>
  <c r="P23" i="42"/>
  <c r="O23" i="42"/>
  <c r="N23" i="42"/>
  <c r="AG22" i="42"/>
  <c r="AF22" i="42"/>
  <c r="AE22" i="42"/>
  <c r="AD22" i="42"/>
  <c r="AC22" i="42"/>
  <c r="AB22" i="42"/>
  <c r="AA22" i="42"/>
  <c r="Z22" i="42"/>
  <c r="Y22" i="42"/>
  <c r="X22" i="42"/>
  <c r="W22" i="42"/>
  <c r="V22" i="42"/>
  <c r="U22" i="42"/>
  <c r="T22" i="42"/>
  <c r="S22" i="42"/>
  <c r="R22" i="42"/>
  <c r="Q22" i="42"/>
  <c r="P22" i="42"/>
  <c r="O22" i="42"/>
  <c r="N22" i="42"/>
  <c r="AG21" i="42"/>
  <c r="AF21" i="42"/>
  <c r="AE21" i="42"/>
  <c r="AD21" i="42"/>
  <c r="AC21" i="42"/>
  <c r="AB21" i="42"/>
  <c r="AA21" i="42"/>
  <c r="Z21" i="42"/>
  <c r="Y21" i="42"/>
  <c r="X21" i="42"/>
  <c r="W21" i="42"/>
  <c r="V21" i="42"/>
  <c r="U21" i="42"/>
  <c r="T21" i="42"/>
  <c r="S21" i="42"/>
  <c r="R21" i="42"/>
  <c r="Q21" i="42"/>
  <c r="P21" i="42"/>
  <c r="O21" i="42"/>
  <c r="N21" i="42"/>
  <c r="AG20" i="42"/>
  <c r="AF20" i="42"/>
  <c r="AE20" i="42"/>
  <c r="AD20" i="42"/>
  <c r="AC20" i="42"/>
  <c r="AB20" i="42"/>
  <c r="AA20" i="42"/>
  <c r="Z20" i="42"/>
  <c r="Y20" i="42"/>
  <c r="X20" i="42"/>
  <c r="W20" i="42"/>
  <c r="V20" i="42"/>
  <c r="U20" i="42"/>
  <c r="T20" i="42"/>
  <c r="S20" i="42"/>
  <c r="R20" i="42"/>
  <c r="Q20" i="42"/>
  <c r="P20" i="42"/>
  <c r="O20" i="42"/>
  <c r="N20" i="42"/>
  <c r="AG19" i="42"/>
  <c r="AF19" i="42"/>
  <c r="AE19" i="42"/>
  <c r="AD19" i="42"/>
  <c r="AC19" i="42"/>
  <c r="AB19" i="42"/>
  <c r="AA19" i="42"/>
  <c r="Z19" i="42"/>
  <c r="Y19" i="42"/>
  <c r="X19" i="42"/>
  <c r="W19" i="42"/>
  <c r="V19" i="42"/>
  <c r="U19" i="42"/>
  <c r="T19" i="42"/>
  <c r="S19" i="42"/>
  <c r="R19" i="42"/>
  <c r="Q19" i="42"/>
  <c r="P19" i="42"/>
  <c r="O19" i="42"/>
  <c r="N19" i="42"/>
  <c r="AG18" i="42"/>
  <c r="AF18" i="42"/>
  <c r="AE18" i="42"/>
  <c r="AD18" i="42"/>
  <c r="AC18" i="42"/>
  <c r="AB18" i="42"/>
  <c r="AA18" i="42"/>
  <c r="Z18" i="42"/>
  <c r="Y18" i="42"/>
  <c r="X18" i="42"/>
  <c r="W18" i="42"/>
  <c r="V18" i="42"/>
  <c r="U18" i="42"/>
  <c r="T18" i="42"/>
  <c r="S18" i="42"/>
  <c r="R18" i="42"/>
  <c r="Q18" i="42"/>
  <c r="P18" i="42"/>
  <c r="O18" i="42"/>
  <c r="N18" i="42"/>
  <c r="AG17" i="42"/>
  <c r="AF17" i="42"/>
  <c r="AE17" i="42"/>
  <c r="AD17" i="42"/>
  <c r="AC17" i="42"/>
  <c r="AB17" i="42"/>
  <c r="AA17" i="42"/>
  <c r="Z17" i="42"/>
  <c r="Y17" i="42"/>
  <c r="X17" i="42"/>
  <c r="W17" i="42"/>
  <c r="V17" i="42"/>
  <c r="U17" i="42"/>
  <c r="T17" i="42"/>
  <c r="S17" i="42"/>
  <c r="R17" i="42"/>
  <c r="Q17" i="42"/>
  <c r="P17" i="42"/>
  <c r="O17" i="42"/>
  <c r="N17" i="42"/>
  <c r="AG16" i="42"/>
  <c r="AF16" i="42"/>
  <c r="AE16" i="42"/>
  <c r="AD16" i="42"/>
  <c r="AC16" i="42"/>
  <c r="AB16" i="42"/>
  <c r="AA16" i="42"/>
  <c r="Z16" i="42"/>
  <c r="Y16" i="42"/>
  <c r="X16" i="42"/>
  <c r="W16" i="42"/>
  <c r="V16" i="42"/>
  <c r="U16" i="42"/>
  <c r="T16" i="42"/>
  <c r="S16" i="42"/>
  <c r="R16" i="42"/>
  <c r="Q16" i="42"/>
  <c r="P16" i="42"/>
  <c r="O16" i="42"/>
  <c r="N16" i="42"/>
  <c r="AG15" i="42"/>
  <c r="AF15" i="42"/>
  <c r="AE15" i="42"/>
  <c r="AD15" i="42"/>
  <c r="AC15" i="42"/>
  <c r="AB15" i="42"/>
  <c r="AA15" i="42"/>
  <c r="Z15" i="42"/>
  <c r="Y15" i="42"/>
  <c r="X15" i="42"/>
  <c r="W15" i="42"/>
  <c r="V15" i="42"/>
  <c r="U15" i="42"/>
  <c r="T15" i="42"/>
  <c r="S15" i="42"/>
  <c r="R15" i="42"/>
  <c r="Q15" i="42"/>
  <c r="P15" i="42"/>
  <c r="O15" i="42"/>
  <c r="N15" i="42"/>
  <c r="AG14" i="42"/>
  <c r="AF14" i="42"/>
  <c r="AE14" i="42"/>
  <c r="AD14" i="42"/>
  <c r="AC14" i="42"/>
  <c r="AB14" i="42"/>
  <c r="AA14" i="42"/>
  <c r="Z14" i="42"/>
  <c r="Y14" i="42"/>
  <c r="X14" i="42"/>
  <c r="W14" i="42"/>
  <c r="V14" i="42"/>
  <c r="U14" i="42"/>
  <c r="T14" i="42"/>
  <c r="S14" i="42"/>
  <c r="R14" i="42"/>
  <c r="Q14" i="42"/>
  <c r="P14" i="42"/>
  <c r="O14" i="42"/>
  <c r="N14" i="42"/>
  <c r="AG13" i="42"/>
  <c r="AF13" i="42"/>
  <c r="AE13" i="42"/>
  <c r="AD13" i="42"/>
  <c r="AC13" i="42"/>
  <c r="AB13" i="42"/>
  <c r="AA13" i="42"/>
  <c r="Z13" i="42"/>
  <c r="Y13" i="42"/>
  <c r="X13" i="42"/>
  <c r="W13" i="42"/>
  <c r="V13" i="42"/>
  <c r="U13" i="42"/>
  <c r="T13" i="42"/>
  <c r="S13" i="42"/>
  <c r="R13" i="42"/>
  <c r="Q13" i="42"/>
  <c r="P13" i="42"/>
  <c r="O13" i="42"/>
  <c r="N13" i="42"/>
  <c r="AG12" i="42"/>
  <c r="AF12" i="42"/>
  <c r="AE12" i="42"/>
  <c r="AD12" i="42"/>
  <c r="AC12" i="42"/>
  <c r="AB12" i="42"/>
  <c r="AA12" i="42"/>
  <c r="Z12" i="42"/>
  <c r="Y12" i="42"/>
  <c r="X12" i="42"/>
  <c r="W12" i="42"/>
  <c r="V12" i="42"/>
  <c r="U12" i="42"/>
  <c r="T12" i="42"/>
  <c r="S12" i="42"/>
  <c r="R12" i="42"/>
  <c r="Q12" i="42"/>
  <c r="P12" i="42"/>
  <c r="O12" i="42"/>
  <c r="N12" i="42"/>
  <c r="AG11" i="42"/>
  <c r="AF11" i="42"/>
  <c r="AE11" i="42"/>
  <c r="AD11" i="42"/>
  <c r="AC11" i="42"/>
  <c r="AB11" i="42"/>
  <c r="AA11" i="42"/>
  <c r="Z11" i="42"/>
  <c r="Y11" i="42"/>
  <c r="X11" i="42"/>
  <c r="W11" i="42"/>
  <c r="V11" i="42"/>
  <c r="U11" i="42"/>
  <c r="T11" i="42"/>
  <c r="S11" i="42"/>
  <c r="R11" i="42"/>
  <c r="Q11" i="42"/>
  <c r="P11" i="42"/>
  <c r="O11" i="42"/>
  <c r="N11" i="42"/>
  <c r="AG10" i="42"/>
  <c r="AF10" i="42"/>
  <c r="AE10" i="42"/>
  <c r="AD10" i="42"/>
  <c r="AC10" i="42"/>
  <c r="AB10" i="42"/>
  <c r="AA10" i="42"/>
  <c r="Z10" i="42"/>
  <c r="Y10" i="42"/>
  <c r="X10" i="42"/>
  <c r="W10" i="42"/>
  <c r="V10" i="42"/>
  <c r="U10" i="42"/>
  <c r="T10" i="42"/>
  <c r="S10" i="42"/>
  <c r="R10" i="42"/>
  <c r="Q10" i="42"/>
  <c r="P10" i="42"/>
  <c r="O10" i="42"/>
  <c r="N10" i="42"/>
  <c r="AG9" i="42"/>
  <c r="AF9" i="42"/>
  <c r="AE9" i="42"/>
  <c r="AD9" i="42"/>
  <c r="AC9" i="42"/>
  <c r="AB9" i="42"/>
  <c r="AA9" i="42"/>
  <c r="Z9" i="42"/>
  <c r="Y9" i="42"/>
  <c r="X9" i="42"/>
  <c r="W9" i="42"/>
  <c r="V9" i="42"/>
  <c r="U9" i="42"/>
  <c r="T9" i="42"/>
  <c r="S9" i="42"/>
  <c r="R9" i="42"/>
  <c r="Q9" i="42"/>
  <c r="P9" i="42"/>
  <c r="O9" i="42"/>
  <c r="N9" i="42"/>
  <c r="I2" i="42"/>
  <c r="F1" i="42"/>
  <c r="AG34" i="41"/>
  <c r="AF34" i="41"/>
  <c r="AE34" i="41"/>
  <c r="AD34" i="41"/>
  <c r="AC34" i="41"/>
  <c r="AB34" i="41"/>
  <c r="AA34" i="41"/>
  <c r="Z34" i="41"/>
  <c r="Y34" i="41"/>
  <c r="X34" i="41"/>
  <c r="W34" i="41"/>
  <c r="V34" i="41"/>
  <c r="U34" i="41"/>
  <c r="T34" i="41"/>
  <c r="S34" i="41"/>
  <c r="R34" i="41"/>
  <c r="Q34" i="41"/>
  <c r="P34" i="41"/>
  <c r="O34" i="41"/>
  <c r="N34" i="41"/>
  <c r="AG29" i="41"/>
  <c r="AF29" i="41"/>
  <c r="AE29" i="41"/>
  <c r="AD29" i="41"/>
  <c r="AC29" i="41"/>
  <c r="AB29" i="41"/>
  <c r="AA29" i="41"/>
  <c r="Z29" i="41"/>
  <c r="Y29" i="41"/>
  <c r="X29" i="41"/>
  <c r="W29" i="41"/>
  <c r="V29" i="41"/>
  <c r="U29" i="41"/>
  <c r="T29" i="41"/>
  <c r="S29" i="41"/>
  <c r="R29" i="41"/>
  <c r="Q29" i="41"/>
  <c r="P29" i="41"/>
  <c r="O29" i="41"/>
  <c r="N29" i="41"/>
  <c r="AG28" i="41"/>
  <c r="AF28" i="41"/>
  <c r="AE28" i="41"/>
  <c r="AD28" i="41"/>
  <c r="AC28" i="41"/>
  <c r="AB28" i="41"/>
  <c r="AA28" i="41"/>
  <c r="Z28" i="41"/>
  <c r="Y28" i="41"/>
  <c r="X28" i="41"/>
  <c r="W28" i="41"/>
  <c r="V28" i="41"/>
  <c r="U28" i="41"/>
  <c r="T28" i="41"/>
  <c r="S28" i="41"/>
  <c r="R28" i="41"/>
  <c r="Q28" i="41"/>
  <c r="P28" i="41"/>
  <c r="O28" i="41"/>
  <c r="N28" i="41"/>
  <c r="AG27" i="41"/>
  <c r="AF27" i="41"/>
  <c r="AE27" i="41"/>
  <c r="AD27" i="41"/>
  <c r="AC27" i="41"/>
  <c r="AB27" i="41"/>
  <c r="AA27" i="41"/>
  <c r="Z27" i="41"/>
  <c r="Y27" i="41"/>
  <c r="X27" i="41"/>
  <c r="W27" i="41"/>
  <c r="V27" i="41"/>
  <c r="U27" i="41"/>
  <c r="T27" i="41"/>
  <c r="S27" i="41"/>
  <c r="R27" i="41"/>
  <c r="Q27" i="41"/>
  <c r="P27" i="41"/>
  <c r="O27" i="41"/>
  <c r="N27" i="41"/>
  <c r="AG26" i="41"/>
  <c r="AF26" i="41"/>
  <c r="AE26" i="41"/>
  <c r="AD26" i="41"/>
  <c r="AC26" i="41"/>
  <c r="AB26" i="41"/>
  <c r="AA26" i="41"/>
  <c r="Z26" i="41"/>
  <c r="Y26" i="41"/>
  <c r="X26" i="41"/>
  <c r="W26" i="41"/>
  <c r="V26" i="41"/>
  <c r="U26" i="41"/>
  <c r="T26" i="41"/>
  <c r="S26" i="41"/>
  <c r="R26" i="41"/>
  <c r="Q26" i="41"/>
  <c r="P26" i="41"/>
  <c r="O26" i="41"/>
  <c r="N26" i="41"/>
  <c r="AG25" i="41"/>
  <c r="AF25" i="41"/>
  <c r="AE25" i="41"/>
  <c r="AD25" i="41"/>
  <c r="AC25" i="41"/>
  <c r="AB25" i="41"/>
  <c r="AA25" i="41"/>
  <c r="Z25" i="41"/>
  <c r="Y25" i="41"/>
  <c r="X25" i="41"/>
  <c r="W25" i="41"/>
  <c r="V25" i="41"/>
  <c r="U25" i="41"/>
  <c r="T25" i="41"/>
  <c r="S25" i="41"/>
  <c r="R25" i="41"/>
  <c r="Q25" i="41"/>
  <c r="P25" i="41"/>
  <c r="O25" i="41"/>
  <c r="N25" i="41"/>
  <c r="AG24" i="41"/>
  <c r="AF24" i="41"/>
  <c r="AE24" i="41"/>
  <c r="AD24" i="41"/>
  <c r="AC24" i="41"/>
  <c r="AB24" i="41"/>
  <c r="AA24" i="41"/>
  <c r="Z24" i="41"/>
  <c r="Y24" i="41"/>
  <c r="X24" i="41"/>
  <c r="W24" i="41"/>
  <c r="V24" i="41"/>
  <c r="U24" i="41"/>
  <c r="T24" i="41"/>
  <c r="S24" i="41"/>
  <c r="R24" i="41"/>
  <c r="Q24" i="41"/>
  <c r="P24" i="41"/>
  <c r="O24" i="41"/>
  <c r="N24" i="41"/>
  <c r="AG23" i="41"/>
  <c r="AF23" i="41"/>
  <c r="AE23" i="41"/>
  <c r="AD23" i="41"/>
  <c r="AC23" i="41"/>
  <c r="AB23" i="41"/>
  <c r="AA23" i="41"/>
  <c r="Z23" i="41"/>
  <c r="Y23" i="41"/>
  <c r="X23" i="41"/>
  <c r="W23" i="41"/>
  <c r="V23" i="41"/>
  <c r="U23" i="41"/>
  <c r="T23" i="41"/>
  <c r="S23" i="41"/>
  <c r="R23" i="41"/>
  <c r="Q23" i="41"/>
  <c r="P23" i="41"/>
  <c r="O23" i="41"/>
  <c r="N23" i="41"/>
  <c r="AG22" i="41"/>
  <c r="AF22" i="41"/>
  <c r="AE22" i="41"/>
  <c r="AD22" i="41"/>
  <c r="AC22" i="41"/>
  <c r="AB22" i="41"/>
  <c r="AA22" i="41"/>
  <c r="Z22" i="41"/>
  <c r="Y22" i="41"/>
  <c r="X22" i="41"/>
  <c r="W22" i="41"/>
  <c r="V22" i="41"/>
  <c r="U22" i="41"/>
  <c r="T22" i="41"/>
  <c r="S22" i="41"/>
  <c r="R22" i="41"/>
  <c r="Q22" i="41"/>
  <c r="P22" i="41"/>
  <c r="O22" i="41"/>
  <c r="N22" i="41"/>
  <c r="AG21" i="41"/>
  <c r="AF21" i="41"/>
  <c r="AE21" i="41"/>
  <c r="AD21" i="41"/>
  <c r="AC21" i="41"/>
  <c r="AB21" i="41"/>
  <c r="AA21" i="41"/>
  <c r="Z21" i="41"/>
  <c r="Y21" i="41"/>
  <c r="X21" i="41"/>
  <c r="W21" i="41"/>
  <c r="V21" i="41"/>
  <c r="U21" i="41"/>
  <c r="T21" i="41"/>
  <c r="S21" i="41"/>
  <c r="R21" i="41"/>
  <c r="Q21" i="41"/>
  <c r="P21" i="41"/>
  <c r="O21" i="41"/>
  <c r="N21" i="41"/>
  <c r="AG20" i="41"/>
  <c r="AF20" i="41"/>
  <c r="AE20" i="41"/>
  <c r="AD20" i="41"/>
  <c r="AC20" i="41"/>
  <c r="AB20" i="41"/>
  <c r="AA20" i="41"/>
  <c r="Z20" i="41"/>
  <c r="Y20" i="41"/>
  <c r="X20" i="41"/>
  <c r="W20" i="41"/>
  <c r="V20" i="41"/>
  <c r="U20" i="41"/>
  <c r="T20" i="41"/>
  <c r="S20" i="41"/>
  <c r="R20" i="41"/>
  <c r="Q20" i="41"/>
  <c r="P20" i="41"/>
  <c r="O20" i="41"/>
  <c r="N20" i="41"/>
  <c r="AG19" i="41"/>
  <c r="AF19" i="41"/>
  <c r="AE19" i="41"/>
  <c r="AD19" i="41"/>
  <c r="AC19" i="41"/>
  <c r="AB19" i="41"/>
  <c r="AA19" i="41"/>
  <c r="Z19" i="41"/>
  <c r="Y19" i="41"/>
  <c r="X19" i="41"/>
  <c r="W19" i="41"/>
  <c r="V19" i="41"/>
  <c r="U19" i="41"/>
  <c r="T19" i="41"/>
  <c r="S19" i="41"/>
  <c r="R19" i="41"/>
  <c r="Q19" i="41"/>
  <c r="P19" i="41"/>
  <c r="O19" i="41"/>
  <c r="N19" i="41"/>
  <c r="AG18" i="41"/>
  <c r="AF18" i="41"/>
  <c r="AE18" i="41"/>
  <c r="AD18" i="41"/>
  <c r="AC18" i="41"/>
  <c r="AB18" i="41"/>
  <c r="AA18" i="41"/>
  <c r="Z18" i="41"/>
  <c r="Y18" i="41"/>
  <c r="X18" i="41"/>
  <c r="W18" i="41"/>
  <c r="V18" i="41"/>
  <c r="U18" i="41"/>
  <c r="T18" i="41"/>
  <c r="S18" i="41"/>
  <c r="R18" i="41"/>
  <c r="Q18" i="41"/>
  <c r="P18" i="41"/>
  <c r="O18" i="41"/>
  <c r="N18" i="41"/>
  <c r="AG17" i="41"/>
  <c r="AF17" i="41"/>
  <c r="AE17" i="41"/>
  <c r="AD17" i="41"/>
  <c r="AC17" i="41"/>
  <c r="AB17" i="41"/>
  <c r="AA17" i="41"/>
  <c r="Z17" i="41"/>
  <c r="Y17" i="41"/>
  <c r="X17" i="41"/>
  <c r="W17" i="41"/>
  <c r="V17" i="41"/>
  <c r="U17" i="41"/>
  <c r="T17" i="41"/>
  <c r="S17" i="41"/>
  <c r="R17" i="41"/>
  <c r="Q17" i="41"/>
  <c r="P17" i="41"/>
  <c r="O17" i="41"/>
  <c r="N17" i="41"/>
  <c r="AG16" i="41"/>
  <c r="AF16" i="41"/>
  <c r="AE16" i="41"/>
  <c r="AD16" i="41"/>
  <c r="AC16" i="41"/>
  <c r="AB16" i="41"/>
  <c r="AA16" i="41"/>
  <c r="Z16" i="41"/>
  <c r="Y16" i="41"/>
  <c r="X16" i="41"/>
  <c r="W16" i="41"/>
  <c r="V16" i="41"/>
  <c r="U16" i="41"/>
  <c r="T16" i="41"/>
  <c r="S16" i="41"/>
  <c r="R16" i="41"/>
  <c r="Q16" i="41"/>
  <c r="P16" i="41"/>
  <c r="O16" i="41"/>
  <c r="N16" i="41"/>
  <c r="AG15" i="41"/>
  <c r="AF15" i="41"/>
  <c r="AE15" i="41"/>
  <c r="AD15" i="41"/>
  <c r="AC15" i="41"/>
  <c r="AB15" i="41"/>
  <c r="AA15" i="41"/>
  <c r="Z15" i="41"/>
  <c r="Y15" i="41"/>
  <c r="X15" i="41"/>
  <c r="W15" i="41"/>
  <c r="V15" i="41"/>
  <c r="U15" i="41"/>
  <c r="T15" i="41"/>
  <c r="S15" i="41"/>
  <c r="R15" i="41"/>
  <c r="Q15" i="41"/>
  <c r="P15" i="41"/>
  <c r="O15" i="41"/>
  <c r="N15" i="41"/>
  <c r="AG14" i="41"/>
  <c r="AF14" i="41"/>
  <c r="AE14" i="41"/>
  <c r="AD14" i="41"/>
  <c r="AC14" i="41"/>
  <c r="AB14" i="41"/>
  <c r="AA14" i="41"/>
  <c r="Z14" i="41"/>
  <c r="Y14" i="41"/>
  <c r="X14" i="41"/>
  <c r="W14" i="41"/>
  <c r="V14" i="41"/>
  <c r="U14" i="41"/>
  <c r="T14" i="41"/>
  <c r="S14" i="41"/>
  <c r="R14" i="41"/>
  <c r="Q14" i="41"/>
  <c r="P14" i="41"/>
  <c r="O14" i="41"/>
  <c r="N14" i="41"/>
  <c r="AG13" i="41"/>
  <c r="AF13" i="41"/>
  <c r="AE13" i="41"/>
  <c r="AD13" i="41"/>
  <c r="AC13" i="41"/>
  <c r="AB13" i="41"/>
  <c r="AA13" i="41"/>
  <c r="Z13" i="41"/>
  <c r="Y13" i="41"/>
  <c r="X13" i="41"/>
  <c r="W13" i="41"/>
  <c r="V13" i="41"/>
  <c r="U13" i="41"/>
  <c r="T13" i="41"/>
  <c r="S13" i="41"/>
  <c r="R13" i="41"/>
  <c r="Q13" i="41"/>
  <c r="P13" i="41"/>
  <c r="O13" i="41"/>
  <c r="N13" i="41"/>
  <c r="AG12" i="41"/>
  <c r="AF12" i="41"/>
  <c r="AE12" i="41"/>
  <c r="AD12" i="41"/>
  <c r="AC12" i="41"/>
  <c r="AB12" i="41"/>
  <c r="AA12" i="41"/>
  <c r="Z12" i="41"/>
  <c r="Y12" i="41"/>
  <c r="X12" i="41"/>
  <c r="W12" i="41"/>
  <c r="V12" i="41"/>
  <c r="U12" i="41"/>
  <c r="T12" i="41"/>
  <c r="S12" i="41"/>
  <c r="R12" i="41"/>
  <c r="Q12" i="41"/>
  <c r="P12" i="41"/>
  <c r="O12" i="41"/>
  <c r="N12" i="41"/>
  <c r="AG11" i="41"/>
  <c r="AF11" i="41"/>
  <c r="AE11" i="41"/>
  <c r="AD11" i="41"/>
  <c r="AC11" i="41"/>
  <c r="AB11" i="41"/>
  <c r="AA11" i="41"/>
  <c r="Z11" i="41"/>
  <c r="Y11" i="41"/>
  <c r="X11" i="41"/>
  <c r="W11" i="41"/>
  <c r="V11" i="41"/>
  <c r="U11" i="41"/>
  <c r="T11" i="41"/>
  <c r="S11" i="41"/>
  <c r="R11" i="41"/>
  <c r="Q11" i="41"/>
  <c r="P11" i="41"/>
  <c r="O11" i="41"/>
  <c r="N11" i="41"/>
  <c r="AG10" i="41"/>
  <c r="AF10" i="41"/>
  <c r="AE10" i="41"/>
  <c r="AD10" i="41"/>
  <c r="AC10" i="41"/>
  <c r="AB10" i="41"/>
  <c r="AA10" i="41"/>
  <c r="Z10" i="41"/>
  <c r="Y10" i="41"/>
  <c r="X10" i="41"/>
  <c r="W10" i="41"/>
  <c r="V10" i="41"/>
  <c r="U10" i="41"/>
  <c r="T10" i="41"/>
  <c r="S10" i="41"/>
  <c r="R10" i="41"/>
  <c r="Q10" i="41"/>
  <c r="P10" i="41"/>
  <c r="O10" i="41"/>
  <c r="N10" i="41"/>
  <c r="AG9" i="41"/>
  <c r="AF9" i="41"/>
  <c r="AE9" i="41"/>
  <c r="AD9" i="41"/>
  <c r="AC9" i="41"/>
  <c r="AB9" i="41"/>
  <c r="AA9" i="41"/>
  <c r="Z9" i="41"/>
  <c r="Y9" i="41"/>
  <c r="X9" i="41"/>
  <c r="W9" i="41"/>
  <c r="V9" i="41"/>
  <c r="U9" i="41"/>
  <c r="T9" i="41"/>
  <c r="S9" i="41"/>
  <c r="R9" i="41"/>
  <c r="Q9" i="41"/>
  <c r="P9" i="41"/>
  <c r="O9" i="41"/>
  <c r="N9" i="41"/>
  <c r="I2" i="41"/>
  <c r="F1" i="41"/>
  <c r="N12" i="28"/>
  <c r="O12" i="28"/>
  <c r="P12" i="28"/>
  <c r="Q12" i="28"/>
  <c r="R12" i="28"/>
  <c r="S12" i="28"/>
  <c r="T12" i="28"/>
  <c r="U12" i="28"/>
  <c r="V12" i="28"/>
  <c r="W12" i="28"/>
  <c r="X12" i="28"/>
  <c r="N13" i="28"/>
  <c r="O13" i="28"/>
  <c r="P13" i="28"/>
  <c r="Q13" i="28"/>
  <c r="R13" i="28"/>
  <c r="S13" i="28"/>
  <c r="T13" i="28"/>
  <c r="U13" i="28"/>
  <c r="V13" i="28"/>
  <c r="W13" i="28"/>
  <c r="X13" i="28"/>
  <c r="N14" i="28"/>
  <c r="O14" i="28"/>
  <c r="P14" i="28"/>
  <c r="Q14" i="28"/>
  <c r="R14" i="28"/>
  <c r="S14" i="28"/>
  <c r="T14" i="28"/>
  <c r="U14" i="28"/>
  <c r="V14" i="28"/>
  <c r="W14" i="28"/>
  <c r="X14" i="28"/>
  <c r="N15" i="28"/>
  <c r="O15" i="28"/>
  <c r="P15" i="28"/>
  <c r="Q15" i="28"/>
  <c r="R15" i="28"/>
  <c r="S15" i="28"/>
  <c r="T15" i="28"/>
  <c r="U15" i="28"/>
  <c r="V15" i="28"/>
  <c r="W15" i="28"/>
  <c r="X15" i="28"/>
  <c r="N16" i="28"/>
  <c r="O16" i="28"/>
  <c r="P16" i="28"/>
  <c r="Q16" i="28"/>
  <c r="R16" i="28"/>
  <c r="S16" i="28"/>
  <c r="T16" i="28"/>
  <c r="U16" i="28"/>
  <c r="V16" i="28"/>
  <c r="W16" i="28"/>
  <c r="X16" i="28"/>
  <c r="N17" i="28"/>
  <c r="O17" i="28"/>
  <c r="P17" i="28"/>
  <c r="Q17" i="28"/>
  <c r="R17" i="28"/>
  <c r="S17" i="28"/>
  <c r="T17" i="28"/>
  <c r="U17" i="28"/>
  <c r="V17" i="28"/>
  <c r="W17" i="28"/>
  <c r="X17" i="28"/>
  <c r="N18" i="28"/>
  <c r="O18" i="28"/>
  <c r="P18" i="28"/>
  <c r="Q18" i="28"/>
  <c r="R18" i="28"/>
  <c r="S18" i="28"/>
  <c r="T18" i="28"/>
  <c r="U18" i="28"/>
  <c r="V18" i="28"/>
  <c r="W18" i="28"/>
  <c r="X18" i="28"/>
  <c r="N19" i="28"/>
  <c r="O19" i="28"/>
  <c r="P19" i="28"/>
  <c r="Q19" i="28"/>
  <c r="R19" i="28"/>
  <c r="S19" i="28"/>
  <c r="T19" i="28"/>
  <c r="U19" i="28"/>
  <c r="V19" i="28"/>
  <c r="W19" i="28"/>
  <c r="X19" i="28"/>
  <c r="X24" i="28"/>
  <c r="X9" i="28"/>
  <c r="Y25" i="27"/>
  <c r="X25" i="27"/>
  <c r="Y9" i="27"/>
  <c r="X9" i="27"/>
  <c r="Z26" i="26"/>
  <c r="Y26" i="26"/>
  <c r="X26" i="26"/>
  <c r="N13" i="26"/>
  <c r="O13" i="26"/>
  <c r="P13" i="26"/>
  <c r="Q13" i="26"/>
  <c r="R13" i="26"/>
  <c r="S13" i="26"/>
  <c r="T13" i="26"/>
  <c r="U13" i="26"/>
  <c r="V13" i="26"/>
  <c r="W13" i="26"/>
  <c r="X13" i="26"/>
  <c r="Y13" i="26"/>
  <c r="Z13" i="26"/>
  <c r="N14" i="26"/>
  <c r="O14" i="26"/>
  <c r="P14" i="26"/>
  <c r="Q14" i="26"/>
  <c r="R14" i="26"/>
  <c r="S14" i="26"/>
  <c r="T14" i="26"/>
  <c r="U14" i="26"/>
  <c r="V14" i="26"/>
  <c r="W14" i="26"/>
  <c r="X14" i="26"/>
  <c r="Y14" i="26"/>
  <c r="Z14" i="26"/>
  <c r="N15" i="26"/>
  <c r="O15" i="26"/>
  <c r="P15" i="26"/>
  <c r="Q15" i="26"/>
  <c r="R15" i="26"/>
  <c r="S15" i="26"/>
  <c r="T15" i="26"/>
  <c r="U15" i="26"/>
  <c r="V15" i="26"/>
  <c r="W15" i="26"/>
  <c r="X15" i="26"/>
  <c r="Y15" i="26"/>
  <c r="Z15" i="26"/>
  <c r="N16" i="26"/>
  <c r="O16" i="26"/>
  <c r="P16" i="26"/>
  <c r="Q16" i="26"/>
  <c r="R16" i="26"/>
  <c r="S16" i="26"/>
  <c r="T16" i="26"/>
  <c r="U16" i="26"/>
  <c r="V16" i="26"/>
  <c r="W16" i="26"/>
  <c r="X16" i="26"/>
  <c r="Y16" i="26"/>
  <c r="Z16" i="26"/>
  <c r="N17" i="26"/>
  <c r="O17" i="26"/>
  <c r="P17" i="26"/>
  <c r="Q17" i="26"/>
  <c r="R17" i="26"/>
  <c r="S17" i="26"/>
  <c r="T17" i="26"/>
  <c r="U17" i="26"/>
  <c r="V17" i="26"/>
  <c r="W17" i="26"/>
  <c r="X17" i="26"/>
  <c r="Y17" i="26"/>
  <c r="Z17" i="26"/>
  <c r="N18" i="26"/>
  <c r="O18" i="26"/>
  <c r="P18" i="26"/>
  <c r="Q18" i="26"/>
  <c r="R18" i="26"/>
  <c r="S18" i="26"/>
  <c r="T18" i="26"/>
  <c r="U18" i="26"/>
  <c r="V18" i="26"/>
  <c r="W18" i="26"/>
  <c r="X18" i="26"/>
  <c r="Y18" i="26"/>
  <c r="Z18" i="26"/>
  <c r="N19" i="26"/>
  <c r="O19" i="26"/>
  <c r="P19" i="26"/>
  <c r="Q19" i="26"/>
  <c r="R19" i="26"/>
  <c r="S19" i="26"/>
  <c r="T19" i="26"/>
  <c r="U19" i="26"/>
  <c r="V19" i="26"/>
  <c r="W19" i="26"/>
  <c r="X19" i="26"/>
  <c r="Y19" i="26"/>
  <c r="Z19" i="26"/>
  <c r="N20" i="26"/>
  <c r="O20" i="26"/>
  <c r="P20" i="26"/>
  <c r="Q20" i="26"/>
  <c r="R20" i="26"/>
  <c r="S20" i="26"/>
  <c r="T20" i="26"/>
  <c r="U20" i="26"/>
  <c r="V20" i="26"/>
  <c r="W20" i="26"/>
  <c r="X20" i="26"/>
  <c r="Y20" i="26"/>
  <c r="Z20" i="26"/>
  <c r="N21" i="26"/>
  <c r="O21" i="26"/>
  <c r="P21" i="26"/>
  <c r="Q21" i="26"/>
  <c r="R21" i="26"/>
  <c r="S21" i="26"/>
  <c r="T21" i="26"/>
  <c r="U21" i="26"/>
  <c r="V21" i="26"/>
  <c r="W21" i="26"/>
  <c r="X21" i="26"/>
  <c r="Y21" i="26"/>
  <c r="Z21" i="26"/>
  <c r="Z9" i="26"/>
  <c r="Y9" i="26"/>
  <c r="X9" i="26"/>
  <c r="N13" i="25"/>
  <c r="O13" i="25"/>
  <c r="P13" i="25"/>
  <c r="Q13" i="25"/>
  <c r="R13" i="25"/>
  <c r="S13" i="25"/>
  <c r="T13" i="25"/>
  <c r="U13" i="25"/>
  <c r="V13" i="25"/>
  <c r="W13" i="25"/>
  <c r="X13" i="25"/>
  <c r="Y13" i="25"/>
  <c r="Z13" i="25"/>
  <c r="AA13" i="25"/>
  <c r="N14" i="25"/>
  <c r="O14" i="25"/>
  <c r="P14" i="25"/>
  <c r="Q14" i="25"/>
  <c r="R14" i="25"/>
  <c r="S14" i="25"/>
  <c r="T14" i="25"/>
  <c r="U14" i="25"/>
  <c r="V14" i="25"/>
  <c r="W14" i="25"/>
  <c r="X14" i="25"/>
  <c r="Y14" i="25"/>
  <c r="Z14" i="25"/>
  <c r="AA14" i="25"/>
  <c r="N15" i="25"/>
  <c r="O15" i="25"/>
  <c r="P15" i="25"/>
  <c r="Q15" i="25"/>
  <c r="R15" i="25"/>
  <c r="S15" i="25"/>
  <c r="T15" i="25"/>
  <c r="U15" i="25"/>
  <c r="V15" i="25"/>
  <c r="W15" i="25"/>
  <c r="X15" i="25"/>
  <c r="Y15" i="25"/>
  <c r="Z15" i="25"/>
  <c r="AA15" i="25"/>
  <c r="N16" i="25"/>
  <c r="O16" i="25"/>
  <c r="P16" i="25"/>
  <c r="Q16" i="25"/>
  <c r="R16" i="25"/>
  <c r="S16" i="25"/>
  <c r="T16" i="25"/>
  <c r="U16" i="25"/>
  <c r="V16" i="25"/>
  <c r="W16" i="25"/>
  <c r="X16" i="25"/>
  <c r="Y16" i="25"/>
  <c r="Z16" i="25"/>
  <c r="AA16" i="25"/>
  <c r="N17" i="25"/>
  <c r="O17" i="25"/>
  <c r="P17" i="25"/>
  <c r="Q17" i="25"/>
  <c r="R17" i="25"/>
  <c r="S17" i="25"/>
  <c r="T17" i="25"/>
  <c r="U17" i="25"/>
  <c r="V17" i="25"/>
  <c r="W17" i="25"/>
  <c r="X17" i="25"/>
  <c r="Y17" i="25"/>
  <c r="Z17" i="25"/>
  <c r="AA17" i="25"/>
  <c r="N18" i="25"/>
  <c r="O18" i="25"/>
  <c r="P18" i="25"/>
  <c r="Q18" i="25"/>
  <c r="R18" i="25"/>
  <c r="S18" i="25"/>
  <c r="T18" i="25"/>
  <c r="U18" i="25"/>
  <c r="V18" i="25"/>
  <c r="W18" i="25"/>
  <c r="X18" i="25"/>
  <c r="Y18" i="25"/>
  <c r="Z18" i="25"/>
  <c r="AA18" i="25"/>
  <c r="N19" i="25"/>
  <c r="O19" i="25"/>
  <c r="P19" i="25"/>
  <c r="Q19" i="25"/>
  <c r="R19" i="25"/>
  <c r="S19" i="25"/>
  <c r="T19" i="25"/>
  <c r="U19" i="25"/>
  <c r="V19" i="25"/>
  <c r="W19" i="25"/>
  <c r="X19" i="25"/>
  <c r="Y19" i="25"/>
  <c r="Z19" i="25"/>
  <c r="AA19" i="25"/>
  <c r="N20" i="25"/>
  <c r="O20" i="25"/>
  <c r="P20" i="25"/>
  <c r="Q20" i="25"/>
  <c r="R20" i="25"/>
  <c r="S20" i="25"/>
  <c r="T20" i="25"/>
  <c r="U20" i="25"/>
  <c r="V20" i="25"/>
  <c r="W20" i="25"/>
  <c r="X20" i="25"/>
  <c r="Y20" i="25"/>
  <c r="Z20" i="25"/>
  <c r="AA20" i="25"/>
  <c r="N21" i="25"/>
  <c r="O21" i="25"/>
  <c r="P21" i="25"/>
  <c r="Q21" i="25"/>
  <c r="R21" i="25"/>
  <c r="S21" i="25"/>
  <c r="T21" i="25"/>
  <c r="U21" i="25"/>
  <c r="V21" i="25"/>
  <c r="W21" i="25"/>
  <c r="X21" i="25"/>
  <c r="Y21" i="25"/>
  <c r="Z21" i="25"/>
  <c r="AA21" i="25"/>
  <c r="N22" i="25"/>
  <c r="O22" i="25"/>
  <c r="P22" i="25"/>
  <c r="Q22" i="25"/>
  <c r="R22" i="25"/>
  <c r="S22" i="25"/>
  <c r="T22" i="25"/>
  <c r="U22" i="25"/>
  <c r="V22" i="25"/>
  <c r="W22" i="25"/>
  <c r="X22" i="25"/>
  <c r="Y22" i="25"/>
  <c r="Z22" i="25"/>
  <c r="AA22" i="25"/>
  <c r="AA27" i="25"/>
  <c r="Z27" i="25"/>
  <c r="Y27" i="25"/>
  <c r="X27" i="25"/>
  <c r="AA9" i="25"/>
  <c r="Z9" i="25"/>
  <c r="Y9" i="25"/>
  <c r="X9" i="25"/>
  <c r="N12" i="24"/>
  <c r="O12" i="24"/>
  <c r="P12" i="24"/>
  <c r="Q12" i="24"/>
  <c r="R12" i="24"/>
  <c r="S12" i="24"/>
  <c r="T12" i="24"/>
  <c r="U12" i="24"/>
  <c r="V12" i="24"/>
  <c r="W12" i="24"/>
  <c r="X12" i="24"/>
  <c r="Y12" i="24"/>
  <c r="Z12" i="24"/>
  <c r="AA12" i="24"/>
  <c r="AB12" i="24"/>
  <c r="N13" i="24"/>
  <c r="O13" i="24"/>
  <c r="P13" i="24"/>
  <c r="Q13" i="24"/>
  <c r="R13" i="24"/>
  <c r="S13" i="24"/>
  <c r="T13" i="24"/>
  <c r="U13" i="24"/>
  <c r="V13" i="24"/>
  <c r="W13" i="24"/>
  <c r="X13" i="24"/>
  <c r="Y13" i="24"/>
  <c r="Z13" i="24"/>
  <c r="AA13" i="24"/>
  <c r="AB13" i="24"/>
  <c r="N14" i="24"/>
  <c r="O14" i="24"/>
  <c r="P14" i="24"/>
  <c r="Q14" i="24"/>
  <c r="R14" i="24"/>
  <c r="S14" i="24"/>
  <c r="T14" i="24"/>
  <c r="U14" i="24"/>
  <c r="V14" i="24"/>
  <c r="W14" i="24"/>
  <c r="X14" i="24"/>
  <c r="Y14" i="24"/>
  <c r="Z14" i="24"/>
  <c r="AA14" i="24"/>
  <c r="AB14" i="24"/>
  <c r="N15" i="24"/>
  <c r="O15" i="24"/>
  <c r="P15" i="24"/>
  <c r="Q15" i="24"/>
  <c r="R15" i="24"/>
  <c r="S15" i="24"/>
  <c r="T15" i="24"/>
  <c r="U15" i="24"/>
  <c r="V15" i="24"/>
  <c r="W15" i="24"/>
  <c r="X15" i="24"/>
  <c r="Y15" i="24"/>
  <c r="Z15" i="24"/>
  <c r="AA15" i="24"/>
  <c r="AB15" i="24"/>
  <c r="N16" i="24"/>
  <c r="O16" i="24"/>
  <c r="P16" i="24"/>
  <c r="Q16" i="24"/>
  <c r="R16" i="24"/>
  <c r="S16" i="24"/>
  <c r="T16" i="24"/>
  <c r="U16" i="24"/>
  <c r="V16" i="24"/>
  <c r="W16" i="24"/>
  <c r="X16" i="24"/>
  <c r="Y16" i="24"/>
  <c r="Z16" i="24"/>
  <c r="AA16" i="24"/>
  <c r="AB16" i="24"/>
  <c r="N17" i="24"/>
  <c r="O17" i="24"/>
  <c r="P17" i="24"/>
  <c r="Q17" i="24"/>
  <c r="R17" i="24"/>
  <c r="S17" i="24"/>
  <c r="T17" i="24"/>
  <c r="U17" i="24"/>
  <c r="V17" i="24"/>
  <c r="W17" i="24"/>
  <c r="X17" i="24"/>
  <c r="Y17" i="24"/>
  <c r="Z17" i="24"/>
  <c r="AA17" i="24"/>
  <c r="AB17" i="24"/>
  <c r="N18" i="24"/>
  <c r="O18" i="24"/>
  <c r="P18" i="24"/>
  <c r="Q18" i="24"/>
  <c r="R18" i="24"/>
  <c r="S18" i="24"/>
  <c r="T18" i="24"/>
  <c r="U18" i="24"/>
  <c r="V18" i="24"/>
  <c r="W18" i="24"/>
  <c r="X18" i="24"/>
  <c r="Y18" i="24"/>
  <c r="Z18" i="24"/>
  <c r="AA18" i="24"/>
  <c r="AB18" i="24"/>
  <c r="N19" i="24"/>
  <c r="O19" i="24"/>
  <c r="P19" i="24"/>
  <c r="Q19" i="24"/>
  <c r="R19" i="24"/>
  <c r="S19" i="24"/>
  <c r="T19" i="24"/>
  <c r="U19" i="24"/>
  <c r="V19" i="24"/>
  <c r="W19" i="24"/>
  <c r="X19" i="24"/>
  <c r="Y19" i="24"/>
  <c r="Z19" i="24"/>
  <c r="AA19" i="24"/>
  <c r="AB19" i="24"/>
  <c r="N20" i="24"/>
  <c r="O20" i="24"/>
  <c r="P20" i="24"/>
  <c r="Q20" i="24"/>
  <c r="R20" i="24"/>
  <c r="S20" i="24"/>
  <c r="T20" i="24"/>
  <c r="U20" i="24"/>
  <c r="V20" i="24"/>
  <c r="W20" i="24"/>
  <c r="X20" i="24"/>
  <c r="Y20" i="24"/>
  <c r="Z20" i="24"/>
  <c r="AA20" i="24"/>
  <c r="AB20" i="24"/>
  <c r="N21" i="24"/>
  <c r="O21" i="24"/>
  <c r="P21" i="24"/>
  <c r="Q21" i="24"/>
  <c r="R21" i="24"/>
  <c r="S21" i="24"/>
  <c r="T21" i="24"/>
  <c r="U21" i="24"/>
  <c r="V21" i="24"/>
  <c r="W21" i="24"/>
  <c r="X21" i="24"/>
  <c r="Y21" i="24"/>
  <c r="Z21" i="24"/>
  <c r="AA21" i="24"/>
  <c r="AB21" i="24"/>
  <c r="N22" i="24"/>
  <c r="O22" i="24"/>
  <c r="P22" i="24"/>
  <c r="Q22" i="24"/>
  <c r="R22" i="24"/>
  <c r="S22" i="24"/>
  <c r="T22" i="24"/>
  <c r="U22" i="24"/>
  <c r="V22" i="24"/>
  <c r="W22" i="24"/>
  <c r="X22" i="24"/>
  <c r="Y22" i="24"/>
  <c r="Z22" i="24"/>
  <c r="AA22" i="24"/>
  <c r="AB22" i="24"/>
  <c r="N23" i="24"/>
  <c r="O23" i="24"/>
  <c r="P23" i="24"/>
  <c r="Q23" i="24"/>
  <c r="R23" i="24"/>
  <c r="S23" i="24"/>
  <c r="T23" i="24"/>
  <c r="U23" i="24"/>
  <c r="V23" i="24"/>
  <c r="W23" i="24"/>
  <c r="X23" i="24"/>
  <c r="Y23" i="24"/>
  <c r="Z23" i="24"/>
  <c r="AA23" i="24"/>
  <c r="AB23" i="24"/>
  <c r="N24" i="24"/>
  <c r="O24" i="24"/>
  <c r="P24" i="24"/>
  <c r="Q24" i="24"/>
  <c r="R24" i="24"/>
  <c r="S24" i="24"/>
  <c r="T24" i="24"/>
  <c r="U24" i="24"/>
  <c r="V24" i="24"/>
  <c r="W24" i="24"/>
  <c r="X24" i="24"/>
  <c r="Y24" i="24"/>
  <c r="Z24" i="24"/>
  <c r="AA24" i="24"/>
  <c r="AB24" i="24"/>
  <c r="AB28" i="24"/>
  <c r="AA28" i="24"/>
  <c r="Z28" i="24"/>
  <c r="Y28" i="24"/>
  <c r="X28" i="24"/>
  <c r="AB9" i="24"/>
  <c r="AA9" i="24"/>
  <c r="Z9" i="24"/>
  <c r="Y9" i="24"/>
  <c r="X9" i="24"/>
  <c r="N12" i="36"/>
  <c r="O12" i="36"/>
  <c r="P12" i="36"/>
  <c r="Q12" i="36"/>
  <c r="R12" i="36"/>
  <c r="S12" i="36"/>
  <c r="T12" i="36"/>
  <c r="U12" i="36"/>
  <c r="V12" i="36"/>
  <c r="W12" i="36"/>
  <c r="X12" i="36"/>
  <c r="Y12" i="36"/>
  <c r="Z12" i="36"/>
  <c r="AA12" i="36"/>
  <c r="AB12" i="36"/>
  <c r="AC12" i="36"/>
  <c r="N13" i="36"/>
  <c r="O13" i="36"/>
  <c r="P13" i="36"/>
  <c r="Q13" i="36"/>
  <c r="R13" i="36"/>
  <c r="S13" i="36"/>
  <c r="T13" i="36"/>
  <c r="U13" i="36"/>
  <c r="V13" i="36"/>
  <c r="W13" i="36"/>
  <c r="X13" i="36"/>
  <c r="Y13" i="36"/>
  <c r="Z13" i="36"/>
  <c r="AA13" i="36"/>
  <c r="AB13" i="36"/>
  <c r="AC13" i="36"/>
  <c r="N14" i="36"/>
  <c r="O14" i="36"/>
  <c r="P14" i="36"/>
  <c r="Q14" i="36"/>
  <c r="R14" i="36"/>
  <c r="S14" i="36"/>
  <c r="T14" i="36"/>
  <c r="U14" i="36"/>
  <c r="V14" i="36"/>
  <c r="W14" i="36"/>
  <c r="X14" i="36"/>
  <c r="Y14" i="36"/>
  <c r="Z14" i="36"/>
  <c r="AA14" i="36"/>
  <c r="AB14" i="36"/>
  <c r="AC14" i="36"/>
  <c r="N15" i="36"/>
  <c r="O15" i="36"/>
  <c r="P15" i="36"/>
  <c r="Q15" i="36"/>
  <c r="R15" i="36"/>
  <c r="S15" i="36"/>
  <c r="T15" i="36"/>
  <c r="U15" i="36"/>
  <c r="V15" i="36"/>
  <c r="W15" i="36"/>
  <c r="X15" i="36"/>
  <c r="Y15" i="36"/>
  <c r="Z15" i="36"/>
  <c r="AA15" i="36"/>
  <c r="AB15" i="36"/>
  <c r="AC15" i="36"/>
  <c r="N16" i="36"/>
  <c r="O16" i="36"/>
  <c r="P16" i="36"/>
  <c r="Q16" i="36"/>
  <c r="R16" i="36"/>
  <c r="S16" i="36"/>
  <c r="T16" i="36"/>
  <c r="U16" i="36"/>
  <c r="V16" i="36"/>
  <c r="W16" i="36"/>
  <c r="X16" i="36"/>
  <c r="Y16" i="36"/>
  <c r="Z16" i="36"/>
  <c r="AA16" i="36"/>
  <c r="AB16" i="36"/>
  <c r="AC16" i="36"/>
  <c r="N17" i="36"/>
  <c r="O17" i="36"/>
  <c r="P17" i="36"/>
  <c r="Q17" i="36"/>
  <c r="R17" i="36"/>
  <c r="S17" i="36"/>
  <c r="T17" i="36"/>
  <c r="U17" i="36"/>
  <c r="V17" i="36"/>
  <c r="W17" i="36"/>
  <c r="X17" i="36"/>
  <c r="Y17" i="36"/>
  <c r="Z17" i="36"/>
  <c r="AA17" i="36"/>
  <c r="AB17" i="36"/>
  <c r="AC17" i="36"/>
  <c r="N18" i="36"/>
  <c r="O18" i="36"/>
  <c r="P18" i="36"/>
  <c r="Q18" i="36"/>
  <c r="R18" i="36"/>
  <c r="S18" i="36"/>
  <c r="T18" i="36"/>
  <c r="U18" i="36"/>
  <c r="V18" i="36"/>
  <c r="W18" i="36"/>
  <c r="X18" i="36"/>
  <c r="Y18" i="36"/>
  <c r="Z18" i="36"/>
  <c r="AA18" i="36"/>
  <c r="AB18" i="36"/>
  <c r="AC18" i="36"/>
  <c r="N19" i="36"/>
  <c r="O19" i="36"/>
  <c r="P19" i="36"/>
  <c r="Q19" i="36"/>
  <c r="R19" i="36"/>
  <c r="S19" i="36"/>
  <c r="T19" i="36"/>
  <c r="U19" i="36"/>
  <c r="V19" i="36"/>
  <c r="W19" i="36"/>
  <c r="X19" i="36"/>
  <c r="Y19" i="36"/>
  <c r="Z19" i="36"/>
  <c r="AA19" i="36"/>
  <c r="AB19" i="36"/>
  <c r="AC19" i="36"/>
  <c r="N20" i="36"/>
  <c r="O20" i="36"/>
  <c r="P20" i="36"/>
  <c r="Q20" i="36"/>
  <c r="R20" i="36"/>
  <c r="S20" i="36"/>
  <c r="T20" i="36"/>
  <c r="U20" i="36"/>
  <c r="V20" i="36"/>
  <c r="W20" i="36"/>
  <c r="X20" i="36"/>
  <c r="Y20" i="36"/>
  <c r="Z20" i="36"/>
  <c r="AA20" i="36"/>
  <c r="AB20" i="36"/>
  <c r="AC20" i="36"/>
  <c r="N21" i="36"/>
  <c r="O21" i="36"/>
  <c r="P21" i="36"/>
  <c r="Q21" i="36"/>
  <c r="R21" i="36"/>
  <c r="S21" i="36"/>
  <c r="T21" i="36"/>
  <c r="U21" i="36"/>
  <c r="V21" i="36"/>
  <c r="W21" i="36"/>
  <c r="X21" i="36"/>
  <c r="Y21" i="36"/>
  <c r="Z21" i="36"/>
  <c r="AA21" i="36"/>
  <c r="AB21" i="36"/>
  <c r="AC21" i="36"/>
  <c r="N22" i="36"/>
  <c r="O22" i="36"/>
  <c r="P22" i="36"/>
  <c r="Q22" i="36"/>
  <c r="R22" i="36"/>
  <c r="S22" i="36"/>
  <c r="T22" i="36"/>
  <c r="U22" i="36"/>
  <c r="V22" i="36"/>
  <c r="W22" i="36"/>
  <c r="X22" i="36"/>
  <c r="Y22" i="36"/>
  <c r="Z22" i="36"/>
  <c r="AA22" i="36"/>
  <c r="AB22" i="36"/>
  <c r="AC22" i="36"/>
  <c r="N23" i="36"/>
  <c r="O23" i="36"/>
  <c r="P23" i="36"/>
  <c r="Q23" i="36"/>
  <c r="R23" i="36"/>
  <c r="S23" i="36"/>
  <c r="T23" i="36"/>
  <c r="U23" i="36"/>
  <c r="V23" i="36"/>
  <c r="W23" i="36"/>
  <c r="X23" i="36"/>
  <c r="Y23" i="36"/>
  <c r="Z23" i="36"/>
  <c r="AA23" i="36"/>
  <c r="AB23" i="36"/>
  <c r="AC23" i="36"/>
  <c r="N24" i="36"/>
  <c r="O24" i="36"/>
  <c r="P24" i="36"/>
  <c r="Q24" i="36"/>
  <c r="R24" i="36"/>
  <c r="S24" i="36"/>
  <c r="T24" i="36"/>
  <c r="U24" i="36"/>
  <c r="V24" i="36"/>
  <c r="W24" i="36"/>
  <c r="X24" i="36"/>
  <c r="Y24" i="36"/>
  <c r="Z24" i="36"/>
  <c r="AA24" i="36"/>
  <c r="AB24" i="36"/>
  <c r="AC24" i="36"/>
  <c r="N25" i="36"/>
  <c r="O25" i="36"/>
  <c r="P25" i="36"/>
  <c r="Q25" i="36"/>
  <c r="R25" i="36"/>
  <c r="S25" i="36"/>
  <c r="T25" i="36"/>
  <c r="U25" i="36"/>
  <c r="V25" i="36"/>
  <c r="W25" i="36"/>
  <c r="X25" i="36"/>
  <c r="Y25" i="36"/>
  <c r="Z25" i="36"/>
  <c r="AA25" i="36"/>
  <c r="AB25" i="36"/>
  <c r="AC25" i="36"/>
  <c r="AC29" i="36"/>
  <c r="AB29" i="36"/>
  <c r="AA29" i="36"/>
  <c r="Z29" i="36"/>
  <c r="Y29" i="36"/>
  <c r="X29" i="36"/>
  <c r="AC9" i="36"/>
  <c r="AB9" i="36"/>
  <c r="AA9" i="36"/>
  <c r="Z9" i="36"/>
  <c r="Y9" i="36"/>
  <c r="X9" i="36"/>
  <c r="AC11" i="36"/>
  <c r="AC10" i="36"/>
  <c r="N16" i="37"/>
  <c r="O16" i="37"/>
  <c r="P16" i="37"/>
  <c r="Q16" i="37"/>
  <c r="R16" i="37"/>
  <c r="S16" i="37"/>
  <c r="T16" i="37"/>
  <c r="U16" i="37"/>
  <c r="V16" i="37"/>
  <c r="W16" i="37"/>
  <c r="X16" i="37"/>
  <c r="Y16" i="37"/>
  <c r="Z16" i="37"/>
  <c r="AA16" i="37"/>
  <c r="AB16" i="37"/>
  <c r="AC16" i="37"/>
  <c r="AD16" i="37"/>
  <c r="N17" i="37"/>
  <c r="O17" i="37"/>
  <c r="P17" i="37"/>
  <c r="Q17" i="37"/>
  <c r="R17" i="37"/>
  <c r="S17" i="37"/>
  <c r="T17" i="37"/>
  <c r="U17" i="37"/>
  <c r="V17" i="37"/>
  <c r="W17" i="37"/>
  <c r="X17" i="37"/>
  <c r="Y17" i="37"/>
  <c r="Z17" i="37"/>
  <c r="AA17" i="37"/>
  <c r="AB17" i="37"/>
  <c r="AC17" i="37"/>
  <c r="AD17" i="37"/>
  <c r="N18" i="37"/>
  <c r="O18" i="37"/>
  <c r="P18" i="37"/>
  <c r="Q18" i="37"/>
  <c r="R18" i="37"/>
  <c r="S18" i="37"/>
  <c r="T18" i="37"/>
  <c r="U18" i="37"/>
  <c r="V18" i="37"/>
  <c r="W18" i="37"/>
  <c r="X18" i="37"/>
  <c r="Y18" i="37"/>
  <c r="Z18" i="37"/>
  <c r="AA18" i="37"/>
  <c r="AB18" i="37"/>
  <c r="AC18" i="37"/>
  <c r="AD18" i="37"/>
  <c r="N19" i="37"/>
  <c r="O19" i="37"/>
  <c r="P19" i="37"/>
  <c r="Q19" i="37"/>
  <c r="R19" i="37"/>
  <c r="S19" i="37"/>
  <c r="T19" i="37"/>
  <c r="U19" i="37"/>
  <c r="V19" i="37"/>
  <c r="W19" i="37"/>
  <c r="X19" i="37"/>
  <c r="Y19" i="37"/>
  <c r="Z19" i="37"/>
  <c r="AA19" i="37"/>
  <c r="AB19" i="37"/>
  <c r="AC19" i="37"/>
  <c r="AD19" i="37"/>
  <c r="N20" i="37"/>
  <c r="O20" i="37"/>
  <c r="P20" i="37"/>
  <c r="Q20" i="37"/>
  <c r="R20" i="37"/>
  <c r="S20" i="37"/>
  <c r="T20" i="37"/>
  <c r="U20" i="37"/>
  <c r="V20" i="37"/>
  <c r="W20" i="37"/>
  <c r="X20" i="37"/>
  <c r="Y20" i="37"/>
  <c r="Z20" i="37"/>
  <c r="AA20" i="37"/>
  <c r="AB20" i="37"/>
  <c r="AC20" i="37"/>
  <c r="AD20" i="37"/>
  <c r="N21" i="37"/>
  <c r="O21" i="37"/>
  <c r="P21" i="37"/>
  <c r="Q21" i="37"/>
  <c r="R21" i="37"/>
  <c r="S21" i="37"/>
  <c r="T21" i="37"/>
  <c r="U21" i="37"/>
  <c r="V21" i="37"/>
  <c r="W21" i="37"/>
  <c r="X21" i="37"/>
  <c r="Y21" i="37"/>
  <c r="Z21" i="37"/>
  <c r="AA21" i="37"/>
  <c r="AB21" i="37"/>
  <c r="AC21" i="37"/>
  <c r="AD21" i="37"/>
  <c r="N22" i="37"/>
  <c r="O22" i="37"/>
  <c r="P22" i="37"/>
  <c r="Q22" i="37"/>
  <c r="R22" i="37"/>
  <c r="S22" i="37"/>
  <c r="T22" i="37"/>
  <c r="U22" i="37"/>
  <c r="V22" i="37"/>
  <c r="W22" i="37"/>
  <c r="X22" i="37"/>
  <c r="Y22" i="37"/>
  <c r="Z22" i="37"/>
  <c r="AA22" i="37"/>
  <c r="AB22" i="37"/>
  <c r="AC22" i="37"/>
  <c r="AD22" i="37"/>
  <c r="N23" i="37"/>
  <c r="O23" i="37"/>
  <c r="P23" i="37"/>
  <c r="Q23" i="37"/>
  <c r="R23" i="37"/>
  <c r="S23" i="37"/>
  <c r="T23" i="37"/>
  <c r="U23" i="37"/>
  <c r="V23" i="37"/>
  <c r="W23" i="37"/>
  <c r="X23" i="37"/>
  <c r="Y23" i="37"/>
  <c r="Z23" i="37"/>
  <c r="AA23" i="37"/>
  <c r="AB23" i="37"/>
  <c r="AC23" i="37"/>
  <c r="AD23" i="37"/>
  <c r="N24" i="37"/>
  <c r="O24" i="37"/>
  <c r="P24" i="37"/>
  <c r="Q24" i="37"/>
  <c r="R24" i="37"/>
  <c r="S24" i="37"/>
  <c r="T24" i="37"/>
  <c r="U24" i="37"/>
  <c r="V24" i="37"/>
  <c r="W24" i="37"/>
  <c r="X24" i="37"/>
  <c r="Y24" i="37"/>
  <c r="Z24" i="37"/>
  <c r="AA24" i="37"/>
  <c r="AB24" i="37"/>
  <c r="AC24" i="37"/>
  <c r="AD24" i="37"/>
  <c r="N25" i="37"/>
  <c r="O25" i="37"/>
  <c r="P25" i="37"/>
  <c r="Q25" i="37"/>
  <c r="R25" i="37"/>
  <c r="S25" i="37"/>
  <c r="T25" i="37"/>
  <c r="U25" i="37"/>
  <c r="V25" i="37"/>
  <c r="W25" i="37"/>
  <c r="X25" i="37"/>
  <c r="Y25" i="37"/>
  <c r="Z25" i="37"/>
  <c r="AA25" i="37"/>
  <c r="AB25" i="37"/>
  <c r="AC25" i="37"/>
  <c r="AD25" i="37"/>
  <c r="N26" i="37"/>
  <c r="O26" i="37"/>
  <c r="P26" i="37"/>
  <c r="Q26" i="37"/>
  <c r="R26" i="37"/>
  <c r="S26" i="37"/>
  <c r="T26" i="37"/>
  <c r="U26" i="37"/>
  <c r="V26" i="37"/>
  <c r="W26" i="37"/>
  <c r="X26" i="37"/>
  <c r="Y26" i="37"/>
  <c r="Z26" i="37"/>
  <c r="AA26" i="37"/>
  <c r="AB26" i="37"/>
  <c r="AC26" i="37"/>
  <c r="AD26" i="37"/>
  <c r="AD30" i="37"/>
  <c r="AC30" i="37"/>
  <c r="AB30" i="37"/>
  <c r="AA30" i="37"/>
  <c r="Z30" i="37"/>
  <c r="Y30" i="37"/>
  <c r="X30" i="37"/>
  <c r="AD9" i="37"/>
  <c r="AC9" i="37"/>
  <c r="AB9" i="37"/>
  <c r="AA9" i="37"/>
  <c r="Z9" i="37"/>
  <c r="Y9" i="37"/>
  <c r="X9" i="37"/>
  <c r="AD15" i="37"/>
  <c r="AD14" i="37"/>
  <c r="AD13" i="37"/>
  <c r="AD12" i="37"/>
  <c r="AD11" i="37"/>
  <c r="AD10" i="37"/>
  <c r="AC15" i="37"/>
  <c r="AC14" i="37"/>
  <c r="AC13" i="37"/>
  <c r="AC12" i="37"/>
  <c r="AC11" i="37"/>
  <c r="AC10" i="37"/>
  <c r="AE31" i="38"/>
  <c r="AD31" i="38"/>
  <c r="AC31" i="38"/>
  <c r="AB31" i="38"/>
  <c r="AA31" i="38"/>
  <c r="Z31" i="38"/>
  <c r="Y31" i="38"/>
  <c r="X31" i="38"/>
  <c r="N12" i="38"/>
  <c r="O12" i="38"/>
  <c r="P12" i="38"/>
  <c r="Q12" i="38"/>
  <c r="R12" i="38"/>
  <c r="S12" i="38"/>
  <c r="T12" i="38"/>
  <c r="U12" i="38"/>
  <c r="V12" i="38"/>
  <c r="W12" i="38"/>
  <c r="X12" i="38"/>
  <c r="Y12" i="38"/>
  <c r="Z12" i="38"/>
  <c r="AA12" i="38"/>
  <c r="AB12" i="38"/>
  <c r="AC12" i="38"/>
  <c r="AD12" i="38"/>
  <c r="AE12" i="38"/>
  <c r="N13" i="38"/>
  <c r="O13" i="38"/>
  <c r="P13" i="38"/>
  <c r="Q13" i="38"/>
  <c r="R13" i="38"/>
  <c r="S13" i="38"/>
  <c r="T13" i="38"/>
  <c r="U13" i="38"/>
  <c r="V13" i="38"/>
  <c r="W13" i="38"/>
  <c r="X13" i="38"/>
  <c r="Y13" i="38"/>
  <c r="Z13" i="38"/>
  <c r="AA13" i="38"/>
  <c r="AB13" i="38"/>
  <c r="AC13" i="38"/>
  <c r="AD13" i="38"/>
  <c r="AE13" i="38"/>
  <c r="N14" i="38"/>
  <c r="O14" i="38"/>
  <c r="P14" i="38"/>
  <c r="Q14" i="38"/>
  <c r="R14" i="38"/>
  <c r="S14" i="38"/>
  <c r="T14" i="38"/>
  <c r="U14" i="38"/>
  <c r="V14" i="38"/>
  <c r="W14" i="38"/>
  <c r="X14" i="38"/>
  <c r="Y14" i="38"/>
  <c r="Z14" i="38"/>
  <c r="AA14" i="38"/>
  <c r="AB14" i="38"/>
  <c r="AC14" i="38"/>
  <c r="AD14" i="38"/>
  <c r="AE14" i="38"/>
  <c r="N15" i="38"/>
  <c r="O15" i="38"/>
  <c r="P15" i="38"/>
  <c r="Q15" i="38"/>
  <c r="R15" i="38"/>
  <c r="S15" i="38"/>
  <c r="T15" i="38"/>
  <c r="U15" i="38"/>
  <c r="V15" i="38"/>
  <c r="W15" i="38"/>
  <c r="X15" i="38"/>
  <c r="Y15" i="38"/>
  <c r="Z15" i="38"/>
  <c r="AA15" i="38"/>
  <c r="AB15" i="38"/>
  <c r="AC15" i="38"/>
  <c r="AD15" i="38"/>
  <c r="AE15" i="38"/>
  <c r="N16" i="38"/>
  <c r="O16" i="38"/>
  <c r="P16" i="38"/>
  <c r="Q16" i="38"/>
  <c r="R16" i="38"/>
  <c r="S16" i="38"/>
  <c r="T16" i="38"/>
  <c r="U16" i="38"/>
  <c r="V16" i="38"/>
  <c r="W16" i="38"/>
  <c r="X16" i="38"/>
  <c r="Y16" i="38"/>
  <c r="Z16" i="38"/>
  <c r="AA16" i="38"/>
  <c r="AB16" i="38"/>
  <c r="AC16" i="38"/>
  <c r="AD16" i="38"/>
  <c r="AE16" i="38"/>
  <c r="N17" i="38"/>
  <c r="O17" i="38"/>
  <c r="P17" i="38"/>
  <c r="Q17" i="38"/>
  <c r="R17" i="38"/>
  <c r="S17" i="38"/>
  <c r="T17" i="38"/>
  <c r="U17" i="38"/>
  <c r="V17" i="38"/>
  <c r="W17" i="38"/>
  <c r="X17" i="38"/>
  <c r="Y17" i="38"/>
  <c r="Z17" i="38"/>
  <c r="AA17" i="38"/>
  <c r="AB17" i="38"/>
  <c r="AC17" i="38"/>
  <c r="AD17" i="38"/>
  <c r="AE17" i="38"/>
  <c r="N18" i="38"/>
  <c r="O18" i="38"/>
  <c r="P18" i="38"/>
  <c r="Q18" i="38"/>
  <c r="R18" i="38"/>
  <c r="S18" i="38"/>
  <c r="T18" i="38"/>
  <c r="U18" i="38"/>
  <c r="V18" i="38"/>
  <c r="W18" i="38"/>
  <c r="X18" i="38"/>
  <c r="Y18" i="38"/>
  <c r="Z18" i="38"/>
  <c r="AA18" i="38"/>
  <c r="AB18" i="38"/>
  <c r="AC18" i="38"/>
  <c r="AD18" i="38"/>
  <c r="AE18" i="38"/>
  <c r="N19" i="38"/>
  <c r="O19" i="38"/>
  <c r="P19" i="38"/>
  <c r="Q19" i="38"/>
  <c r="R19" i="38"/>
  <c r="S19" i="38"/>
  <c r="T19" i="38"/>
  <c r="U19" i="38"/>
  <c r="V19" i="38"/>
  <c r="W19" i="38"/>
  <c r="X19" i="38"/>
  <c r="Y19" i="38"/>
  <c r="Z19" i="38"/>
  <c r="AA19" i="38"/>
  <c r="AB19" i="38"/>
  <c r="AC19" i="38"/>
  <c r="AD19" i="38"/>
  <c r="AE19" i="38"/>
  <c r="N20" i="38"/>
  <c r="O20" i="38"/>
  <c r="P20" i="38"/>
  <c r="Q20" i="38"/>
  <c r="R20" i="38"/>
  <c r="S20" i="38"/>
  <c r="T20" i="38"/>
  <c r="U20" i="38"/>
  <c r="V20" i="38"/>
  <c r="W20" i="38"/>
  <c r="X20" i="38"/>
  <c r="Y20" i="38"/>
  <c r="Z20" i="38"/>
  <c r="AA20" i="38"/>
  <c r="AB20" i="38"/>
  <c r="AC20" i="38"/>
  <c r="AD20" i="38"/>
  <c r="AE20" i="38"/>
  <c r="N21" i="38"/>
  <c r="O21" i="38"/>
  <c r="P21" i="38"/>
  <c r="Q21" i="38"/>
  <c r="R21" i="38"/>
  <c r="S21" i="38"/>
  <c r="T21" i="38"/>
  <c r="U21" i="38"/>
  <c r="V21" i="38"/>
  <c r="W21" i="38"/>
  <c r="X21" i="38"/>
  <c r="Y21" i="38"/>
  <c r="Z21" i="38"/>
  <c r="AA21" i="38"/>
  <c r="AB21" i="38"/>
  <c r="AC21" i="38"/>
  <c r="AD21" i="38"/>
  <c r="AE21" i="38"/>
  <c r="N22" i="38"/>
  <c r="O22" i="38"/>
  <c r="P22" i="38"/>
  <c r="Q22" i="38"/>
  <c r="R22" i="38"/>
  <c r="S22" i="38"/>
  <c r="T22" i="38"/>
  <c r="U22" i="38"/>
  <c r="V22" i="38"/>
  <c r="W22" i="38"/>
  <c r="X22" i="38"/>
  <c r="Y22" i="38"/>
  <c r="Z22" i="38"/>
  <c r="AA22" i="38"/>
  <c r="AB22" i="38"/>
  <c r="AC22" i="38"/>
  <c r="AD22" i="38"/>
  <c r="AE22" i="38"/>
  <c r="N23" i="38"/>
  <c r="O23" i="38"/>
  <c r="P23" i="38"/>
  <c r="Q23" i="38"/>
  <c r="R23" i="38"/>
  <c r="S23" i="38"/>
  <c r="T23" i="38"/>
  <c r="U23" i="38"/>
  <c r="V23" i="38"/>
  <c r="W23" i="38"/>
  <c r="X23" i="38"/>
  <c r="Y23" i="38"/>
  <c r="Z23" i="38"/>
  <c r="AA23" i="38"/>
  <c r="AB23" i="38"/>
  <c r="AC23" i="38"/>
  <c r="AD23" i="38"/>
  <c r="AE23" i="38"/>
  <c r="N24" i="38"/>
  <c r="O24" i="38"/>
  <c r="P24" i="38"/>
  <c r="Q24" i="38"/>
  <c r="R24" i="38"/>
  <c r="S24" i="38"/>
  <c r="T24" i="38"/>
  <c r="U24" i="38"/>
  <c r="V24" i="38"/>
  <c r="W24" i="38"/>
  <c r="X24" i="38"/>
  <c r="Y24" i="38"/>
  <c r="Z24" i="38"/>
  <c r="AA24" i="38"/>
  <c r="AB24" i="38"/>
  <c r="AC24" i="38"/>
  <c r="AD24" i="38"/>
  <c r="AE24" i="38"/>
  <c r="N25" i="38"/>
  <c r="O25" i="38"/>
  <c r="P25" i="38"/>
  <c r="Q25" i="38"/>
  <c r="R25" i="38"/>
  <c r="S25" i="38"/>
  <c r="T25" i="38"/>
  <c r="U25" i="38"/>
  <c r="V25" i="38"/>
  <c r="W25" i="38"/>
  <c r="X25" i="38"/>
  <c r="Y25" i="38"/>
  <c r="Z25" i="38"/>
  <c r="AA25" i="38"/>
  <c r="AB25" i="38"/>
  <c r="AC25" i="38"/>
  <c r="AD25" i="38"/>
  <c r="AE25" i="38"/>
  <c r="N26" i="38"/>
  <c r="O26" i="38"/>
  <c r="P26" i="38"/>
  <c r="Q26" i="38"/>
  <c r="R26" i="38"/>
  <c r="S26" i="38"/>
  <c r="T26" i="38"/>
  <c r="U26" i="38"/>
  <c r="V26" i="38"/>
  <c r="W26" i="38"/>
  <c r="X26" i="38"/>
  <c r="Y26" i="38"/>
  <c r="Z26" i="38"/>
  <c r="AA26" i="38"/>
  <c r="AB26" i="38"/>
  <c r="AC26" i="38"/>
  <c r="AD26" i="38"/>
  <c r="AE26" i="38"/>
  <c r="N27" i="38"/>
  <c r="O27" i="38"/>
  <c r="P27" i="38"/>
  <c r="Q27" i="38"/>
  <c r="R27" i="38"/>
  <c r="S27" i="38"/>
  <c r="T27" i="38"/>
  <c r="U27" i="38"/>
  <c r="V27" i="38"/>
  <c r="W27" i="38"/>
  <c r="X27" i="38"/>
  <c r="Y27" i="38"/>
  <c r="Z27" i="38"/>
  <c r="AA27" i="38"/>
  <c r="AB27" i="38"/>
  <c r="AC27" i="38"/>
  <c r="AD27" i="38"/>
  <c r="AE27" i="38"/>
  <c r="AE9" i="38"/>
  <c r="AD9" i="38"/>
  <c r="AC9" i="38"/>
  <c r="AB9" i="38"/>
  <c r="AA9" i="38"/>
  <c r="Z9" i="38"/>
  <c r="Y9" i="38"/>
  <c r="X9" i="38"/>
  <c r="AE11" i="38"/>
  <c r="AE10" i="38"/>
  <c r="AD11" i="38"/>
  <c r="AD10" i="38"/>
  <c r="AC11" i="38"/>
  <c r="AC10" i="38"/>
  <c r="AF32" i="39"/>
  <c r="AE32" i="39"/>
  <c r="AD32" i="39"/>
  <c r="AC32" i="39"/>
  <c r="AB32" i="39"/>
  <c r="AA32" i="39"/>
  <c r="Z32" i="39"/>
  <c r="Y32" i="39"/>
  <c r="X32" i="39"/>
  <c r="N12" i="39"/>
  <c r="O12" i="39"/>
  <c r="P12" i="39"/>
  <c r="Q12" i="39"/>
  <c r="R12" i="39"/>
  <c r="S12" i="39"/>
  <c r="T12" i="39"/>
  <c r="U12" i="39"/>
  <c r="V12" i="39"/>
  <c r="W12" i="39"/>
  <c r="X12" i="39"/>
  <c r="Y12" i="39"/>
  <c r="Z12" i="39"/>
  <c r="AA12" i="39"/>
  <c r="AB12" i="39"/>
  <c r="AC12" i="39"/>
  <c r="AD12" i="39"/>
  <c r="AE12" i="39"/>
  <c r="AF12" i="39"/>
  <c r="N13" i="39"/>
  <c r="O13" i="39"/>
  <c r="P13" i="39"/>
  <c r="Q13" i="39"/>
  <c r="R13" i="39"/>
  <c r="S13" i="39"/>
  <c r="T13" i="39"/>
  <c r="U13" i="39"/>
  <c r="V13" i="39"/>
  <c r="W13" i="39"/>
  <c r="X13" i="39"/>
  <c r="Y13" i="39"/>
  <c r="Z13" i="39"/>
  <c r="AA13" i="39"/>
  <c r="AB13" i="39"/>
  <c r="AC13" i="39"/>
  <c r="AD13" i="39"/>
  <c r="AE13" i="39"/>
  <c r="AE29" i="39" s="1"/>
  <c r="AF13" i="39"/>
  <c r="N14" i="39"/>
  <c r="O14" i="39"/>
  <c r="P14" i="39"/>
  <c r="Q14" i="39"/>
  <c r="R14" i="39"/>
  <c r="S14" i="39"/>
  <c r="T14" i="39"/>
  <c r="U14" i="39"/>
  <c r="V14" i="39"/>
  <c r="W14" i="39"/>
  <c r="X14" i="39"/>
  <c r="Y14" i="39"/>
  <c r="Z14" i="39"/>
  <c r="AA14" i="39"/>
  <c r="AB14" i="39"/>
  <c r="AC14" i="39"/>
  <c r="AD14" i="39"/>
  <c r="AE14" i="39"/>
  <c r="AF14" i="39"/>
  <c r="N15" i="39"/>
  <c r="O15" i="39"/>
  <c r="P15" i="39"/>
  <c r="Q15" i="39"/>
  <c r="R15" i="39"/>
  <c r="S15" i="39"/>
  <c r="T15" i="39"/>
  <c r="U15" i="39"/>
  <c r="V15" i="39"/>
  <c r="W15" i="39"/>
  <c r="X15" i="39"/>
  <c r="Y15" i="39"/>
  <c r="Z15" i="39"/>
  <c r="AA15" i="39"/>
  <c r="AB15" i="39"/>
  <c r="AC15" i="39"/>
  <c r="AD15" i="39"/>
  <c r="AE15" i="39"/>
  <c r="AF15" i="39"/>
  <c r="N16" i="39"/>
  <c r="O16" i="39"/>
  <c r="P16" i="39"/>
  <c r="Q16" i="39"/>
  <c r="R16" i="39"/>
  <c r="S16" i="39"/>
  <c r="T16" i="39"/>
  <c r="U16" i="39"/>
  <c r="V16" i="39"/>
  <c r="W16" i="39"/>
  <c r="X16" i="39"/>
  <c r="Y16" i="39"/>
  <c r="Z16" i="39"/>
  <c r="AA16" i="39"/>
  <c r="AB16" i="39"/>
  <c r="AC16" i="39"/>
  <c r="AD16" i="39"/>
  <c r="AE16" i="39"/>
  <c r="AF16" i="39"/>
  <c r="N17" i="39"/>
  <c r="O17" i="39"/>
  <c r="P17" i="39"/>
  <c r="Q17" i="39"/>
  <c r="R17" i="39"/>
  <c r="S17" i="39"/>
  <c r="T17" i="39"/>
  <c r="U17" i="39"/>
  <c r="V17" i="39"/>
  <c r="W17" i="39"/>
  <c r="X17" i="39"/>
  <c r="Y17" i="39"/>
  <c r="Z17" i="39"/>
  <c r="AA17" i="39"/>
  <c r="AB17" i="39"/>
  <c r="AC17" i="39"/>
  <c r="AD17" i="39"/>
  <c r="AE17" i="39"/>
  <c r="AF17" i="39"/>
  <c r="N18" i="39"/>
  <c r="O18" i="39"/>
  <c r="P18" i="39"/>
  <c r="Q18" i="39"/>
  <c r="R18" i="39"/>
  <c r="S18" i="39"/>
  <c r="T18" i="39"/>
  <c r="U18" i="39"/>
  <c r="V18" i="39"/>
  <c r="W18" i="39"/>
  <c r="X18" i="39"/>
  <c r="Y18" i="39"/>
  <c r="Z18" i="39"/>
  <c r="AA18" i="39"/>
  <c r="AB18" i="39"/>
  <c r="AC18" i="39"/>
  <c r="AD18" i="39"/>
  <c r="AE18" i="39"/>
  <c r="AF18" i="39"/>
  <c r="N19" i="39"/>
  <c r="O19" i="39"/>
  <c r="P19" i="39"/>
  <c r="Q19" i="39"/>
  <c r="R19" i="39"/>
  <c r="S19" i="39"/>
  <c r="T19" i="39"/>
  <c r="U19" i="39"/>
  <c r="V19" i="39"/>
  <c r="W19" i="39"/>
  <c r="X19" i="39"/>
  <c r="Y19" i="39"/>
  <c r="Z19" i="39"/>
  <c r="AA19" i="39"/>
  <c r="AB19" i="39"/>
  <c r="AC19" i="39"/>
  <c r="AD19" i="39"/>
  <c r="AE19" i="39"/>
  <c r="AF19" i="39"/>
  <c r="N20" i="39"/>
  <c r="O20" i="39"/>
  <c r="P20" i="39"/>
  <c r="Q20" i="39"/>
  <c r="R20" i="39"/>
  <c r="S20" i="39"/>
  <c r="T20" i="39"/>
  <c r="U20" i="39"/>
  <c r="V20" i="39"/>
  <c r="W20" i="39"/>
  <c r="X20" i="39"/>
  <c r="Y20" i="39"/>
  <c r="Z20" i="39"/>
  <c r="AA20" i="39"/>
  <c r="AB20" i="39"/>
  <c r="AC20" i="39"/>
  <c r="AD20" i="39"/>
  <c r="AE20" i="39"/>
  <c r="AF20" i="39"/>
  <c r="N21" i="39"/>
  <c r="O21" i="39"/>
  <c r="P21" i="39"/>
  <c r="Q21" i="39"/>
  <c r="R21" i="39"/>
  <c r="S21" i="39"/>
  <c r="T21" i="39"/>
  <c r="U21" i="39"/>
  <c r="V21" i="39"/>
  <c r="W21" i="39"/>
  <c r="X21" i="39"/>
  <c r="Y21" i="39"/>
  <c r="Z21" i="39"/>
  <c r="AA21" i="39"/>
  <c r="AB21" i="39"/>
  <c r="AC21" i="39"/>
  <c r="AD21" i="39"/>
  <c r="AE21" i="39"/>
  <c r="AF21" i="39"/>
  <c r="N22" i="39"/>
  <c r="O22" i="39"/>
  <c r="P22" i="39"/>
  <c r="Q22" i="39"/>
  <c r="R22" i="39"/>
  <c r="S22" i="39"/>
  <c r="T22" i="39"/>
  <c r="U22" i="39"/>
  <c r="V22" i="39"/>
  <c r="W22" i="39"/>
  <c r="X22" i="39"/>
  <c r="Y22" i="39"/>
  <c r="Z22" i="39"/>
  <c r="AA22" i="39"/>
  <c r="AB22" i="39"/>
  <c r="AC22" i="39"/>
  <c r="AD22" i="39"/>
  <c r="AE22" i="39"/>
  <c r="AF22" i="39"/>
  <c r="N23" i="39"/>
  <c r="O23" i="39"/>
  <c r="P23" i="39"/>
  <c r="Q23" i="39"/>
  <c r="R23" i="39"/>
  <c r="S23" i="39"/>
  <c r="T23" i="39"/>
  <c r="U23" i="39"/>
  <c r="V23" i="39"/>
  <c r="W23" i="39"/>
  <c r="X23" i="39"/>
  <c r="Y23" i="39"/>
  <c r="Z23" i="39"/>
  <c r="AA23" i="39"/>
  <c r="AB23" i="39"/>
  <c r="AC23" i="39"/>
  <c r="AD23" i="39"/>
  <c r="AE23" i="39"/>
  <c r="AF23" i="39"/>
  <c r="N24" i="39"/>
  <c r="O24" i="39"/>
  <c r="P24" i="39"/>
  <c r="Q24" i="39"/>
  <c r="R24" i="39"/>
  <c r="S24" i="39"/>
  <c r="T24" i="39"/>
  <c r="U24" i="39"/>
  <c r="V24" i="39"/>
  <c r="W24" i="39"/>
  <c r="X24" i="39"/>
  <c r="Y24" i="39"/>
  <c r="Z24" i="39"/>
  <c r="AA24" i="39"/>
  <c r="AB24" i="39"/>
  <c r="AC24" i="39"/>
  <c r="AD24" i="39"/>
  <c r="AE24" i="39"/>
  <c r="AF24" i="39"/>
  <c r="N25" i="39"/>
  <c r="O25" i="39"/>
  <c r="P25" i="39"/>
  <c r="Q25" i="39"/>
  <c r="R25" i="39"/>
  <c r="S25" i="39"/>
  <c r="T25" i="39"/>
  <c r="U25" i="39"/>
  <c r="V25" i="39"/>
  <c r="W25" i="39"/>
  <c r="X25" i="39"/>
  <c r="Y25" i="39"/>
  <c r="Z25" i="39"/>
  <c r="AA25" i="39"/>
  <c r="AB25" i="39"/>
  <c r="AC25" i="39"/>
  <c r="AD25" i="39"/>
  <c r="AE25" i="39"/>
  <c r="AF25" i="39"/>
  <c r="N26" i="39"/>
  <c r="O26" i="39"/>
  <c r="P26" i="39"/>
  <c r="Q26" i="39"/>
  <c r="R26" i="39"/>
  <c r="S26" i="39"/>
  <c r="T26" i="39"/>
  <c r="U26" i="39"/>
  <c r="V26" i="39"/>
  <c r="W26" i="39"/>
  <c r="X26" i="39"/>
  <c r="Y26" i="39"/>
  <c r="Z26" i="39"/>
  <c r="AA26" i="39"/>
  <c r="AB26" i="39"/>
  <c r="AC26" i="39"/>
  <c r="AD26" i="39"/>
  <c r="AE26" i="39"/>
  <c r="AF26" i="39"/>
  <c r="N27" i="39"/>
  <c r="O27" i="39"/>
  <c r="P27" i="39"/>
  <c r="Q27" i="39"/>
  <c r="R27" i="39"/>
  <c r="S27" i="39"/>
  <c r="T27" i="39"/>
  <c r="U27" i="39"/>
  <c r="V27" i="39"/>
  <c r="W27" i="39"/>
  <c r="X27" i="39"/>
  <c r="Y27" i="39"/>
  <c r="Z27" i="39"/>
  <c r="AA27" i="39"/>
  <c r="AB27" i="39"/>
  <c r="AC27" i="39"/>
  <c r="AD27" i="39"/>
  <c r="AE27" i="39"/>
  <c r="AF27" i="39"/>
  <c r="N28" i="39"/>
  <c r="O28" i="39"/>
  <c r="P28" i="39"/>
  <c r="Q28" i="39"/>
  <c r="R28" i="39"/>
  <c r="S28" i="39"/>
  <c r="T28" i="39"/>
  <c r="U28" i="39"/>
  <c r="V28" i="39"/>
  <c r="W28" i="39"/>
  <c r="X28" i="39"/>
  <c r="Y28" i="39"/>
  <c r="Z28" i="39"/>
  <c r="AA28" i="39"/>
  <c r="AB28" i="39"/>
  <c r="AC28" i="39"/>
  <c r="AD28" i="39"/>
  <c r="AE28" i="39"/>
  <c r="AF28" i="39"/>
  <c r="U11" i="39"/>
  <c r="V11" i="39"/>
  <c r="W11" i="39"/>
  <c r="X11" i="39"/>
  <c r="Y11" i="39"/>
  <c r="Z11" i="39"/>
  <c r="AA11" i="39"/>
  <c r="AB11" i="39"/>
  <c r="AC11" i="39"/>
  <c r="AD11" i="39"/>
  <c r="AE11" i="39"/>
  <c r="AF11" i="39"/>
  <c r="AC10" i="39"/>
  <c r="AD10" i="39"/>
  <c r="AE10" i="39"/>
  <c r="AF10" i="39"/>
  <c r="AF9" i="39"/>
  <c r="AE9" i="39"/>
  <c r="AD9" i="39"/>
  <c r="AC9" i="39"/>
  <c r="AB9" i="39"/>
  <c r="AA9" i="39"/>
  <c r="Z9" i="39"/>
  <c r="Y9" i="39"/>
  <c r="X9" i="39"/>
  <c r="N18" i="40"/>
  <c r="O18" i="40"/>
  <c r="P18" i="40"/>
  <c r="Q18" i="40"/>
  <c r="R18" i="40"/>
  <c r="S18" i="40"/>
  <c r="T18" i="40"/>
  <c r="U18" i="40"/>
  <c r="V18" i="40"/>
  <c r="W18" i="40"/>
  <c r="X18" i="40"/>
  <c r="Y18" i="40"/>
  <c r="Z18" i="40"/>
  <c r="AA18" i="40"/>
  <c r="AB18" i="40"/>
  <c r="AC18" i="40"/>
  <c r="AD18" i="40"/>
  <c r="AE18" i="40"/>
  <c r="AF18" i="40"/>
  <c r="AG18" i="40"/>
  <c r="N19" i="40"/>
  <c r="O19" i="40"/>
  <c r="P19" i="40"/>
  <c r="Q19" i="40"/>
  <c r="R19" i="40"/>
  <c r="S19" i="40"/>
  <c r="T19" i="40"/>
  <c r="U19" i="40"/>
  <c r="V19" i="40"/>
  <c r="W19" i="40"/>
  <c r="X19" i="40"/>
  <c r="Y19" i="40"/>
  <c r="Z19" i="40"/>
  <c r="AA19" i="40"/>
  <c r="AB19" i="40"/>
  <c r="AC19" i="40"/>
  <c r="AD19" i="40"/>
  <c r="AE19" i="40"/>
  <c r="AF19" i="40"/>
  <c r="AG19" i="40"/>
  <c r="N20" i="40"/>
  <c r="O20" i="40"/>
  <c r="P20" i="40"/>
  <c r="Q20" i="40"/>
  <c r="R20" i="40"/>
  <c r="S20" i="40"/>
  <c r="T20" i="40"/>
  <c r="U20" i="40"/>
  <c r="V20" i="40"/>
  <c r="W20" i="40"/>
  <c r="X20" i="40"/>
  <c r="Y20" i="40"/>
  <c r="Z20" i="40"/>
  <c r="AA20" i="40"/>
  <c r="AB20" i="40"/>
  <c r="AC20" i="40"/>
  <c r="AD20" i="40"/>
  <c r="AE20" i="40"/>
  <c r="AF20" i="40"/>
  <c r="AG20" i="40"/>
  <c r="N21" i="40"/>
  <c r="O21" i="40"/>
  <c r="P21" i="40"/>
  <c r="Q21" i="40"/>
  <c r="R21" i="40"/>
  <c r="S21" i="40"/>
  <c r="T21" i="40"/>
  <c r="U21" i="40"/>
  <c r="V21" i="40"/>
  <c r="W21" i="40"/>
  <c r="X21" i="40"/>
  <c r="Y21" i="40"/>
  <c r="Z21" i="40"/>
  <c r="AA21" i="40"/>
  <c r="AB21" i="40"/>
  <c r="AC21" i="40"/>
  <c r="AD21" i="40"/>
  <c r="AE21" i="40"/>
  <c r="AF21" i="40"/>
  <c r="AG21" i="40"/>
  <c r="N22" i="40"/>
  <c r="O22" i="40"/>
  <c r="P22" i="40"/>
  <c r="Q22" i="40"/>
  <c r="R22" i="40"/>
  <c r="S22" i="40"/>
  <c r="T22" i="40"/>
  <c r="U22" i="40"/>
  <c r="V22" i="40"/>
  <c r="W22" i="40"/>
  <c r="X22" i="40"/>
  <c r="Y22" i="40"/>
  <c r="Z22" i="40"/>
  <c r="AA22" i="40"/>
  <c r="AB22" i="40"/>
  <c r="AC22" i="40"/>
  <c r="AD22" i="40"/>
  <c r="AE22" i="40"/>
  <c r="AF22" i="40"/>
  <c r="AG22" i="40"/>
  <c r="N23" i="40"/>
  <c r="O23" i="40"/>
  <c r="P23" i="40"/>
  <c r="Q23" i="40"/>
  <c r="R23" i="40"/>
  <c r="S23" i="40"/>
  <c r="T23" i="40"/>
  <c r="U23" i="40"/>
  <c r="V23" i="40"/>
  <c r="W23" i="40"/>
  <c r="X23" i="40"/>
  <c r="Y23" i="40"/>
  <c r="Z23" i="40"/>
  <c r="AA23" i="40"/>
  <c r="AB23" i="40"/>
  <c r="AC23" i="40"/>
  <c r="AD23" i="40"/>
  <c r="AE23" i="40"/>
  <c r="AF23" i="40"/>
  <c r="AG23" i="40"/>
  <c r="N24" i="40"/>
  <c r="O24" i="40"/>
  <c r="P24" i="40"/>
  <c r="Q24" i="40"/>
  <c r="R24" i="40"/>
  <c r="S24" i="40"/>
  <c r="T24" i="40"/>
  <c r="U24" i="40"/>
  <c r="V24" i="40"/>
  <c r="W24" i="40"/>
  <c r="X24" i="40"/>
  <c r="Y24" i="40"/>
  <c r="Z24" i="40"/>
  <c r="AA24" i="40"/>
  <c r="AB24" i="40"/>
  <c r="AC24" i="40"/>
  <c r="AD24" i="40"/>
  <c r="AE24" i="40"/>
  <c r="AF24" i="40"/>
  <c r="AG24" i="40"/>
  <c r="N25" i="40"/>
  <c r="O25" i="40"/>
  <c r="P25" i="40"/>
  <c r="Q25" i="40"/>
  <c r="R25" i="40"/>
  <c r="S25" i="40"/>
  <c r="T25" i="40"/>
  <c r="U25" i="40"/>
  <c r="V25" i="40"/>
  <c r="W25" i="40"/>
  <c r="X25" i="40"/>
  <c r="Y25" i="40"/>
  <c r="Z25" i="40"/>
  <c r="AA25" i="40"/>
  <c r="AB25" i="40"/>
  <c r="AC25" i="40"/>
  <c r="AD25" i="40"/>
  <c r="AE25" i="40"/>
  <c r="AF25" i="40"/>
  <c r="AG25" i="40"/>
  <c r="N26" i="40"/>
  <c r="O26" i="40"/>
  <c r="P26" i="40"/>
  <c r="Q26" i="40"/>
  <c r="R26" i="40"/>
  <c r="S26" i="40"/>
  <c r="T26" i="40"/>
  <c r="U26" i="40"/>
  <c r="V26" i="40"/>
  <c r="W26" i="40"/>
  <c r="X26" i="40"/>
  <c r="Y26" i="40"/>
  <c r="Z26" i="40"/>
  <c r="AA26" i="40"/>
  <c r="AB26" i="40"/>
  <c r="AC26" i="40"/>
  <c r="AD26" i="40"/>
  <c r="AE26" i="40"/>
  <c r="AF26" i="40"/>
  <c r="AG26" i="40"/>
  <c r="N27" i="40"/>
  <c r="O27" i="40"/>
  <c r="P27" i="40"/>
  <c r="Q27" i="40"/>
  <c r="R27" i="40"/>
  <c r="S27" i="40"/>
  <c r="T27" i="40"/>
  <c r="U27" i="40"/>
  <c r="V27" i="40"/>
  <c r="W27" i="40"/>
  <c r="X27" i="40"/>
  <c r="Y27" i="40"/>
  <c r="Z27" i="40"/>
  <c r="AA27" i="40"/>
  <c r="AB27" i="40"/>
  <c r="AC27" i="40"/>
  <c r="AD27" i="40"/>
  <c r="AE27" i="40"/>
  <c r="AF27" i="40"/>
  <c r="AG27" i="40"/>
  <c r="N28" i="40"/>
  <c r="O28" i="40"/>
  <c r="P28" i="40"/>
  <c r="Q28" i="40"/>
  <c r="R28" i="40"/>
  <c r="S28" i="40"/>
  <c r="T28" i="40"/>
  <c r="U28" i="40"/>
  <c r="V28" i="40"/>
  <c r="W28" i="40"/>
  <c r="X28" i="40"/>
  <c r="Y28" i="40"/>
  <c r="Z28" i="40"/>
  <c r="AA28" i="40"/>
  <c r="AB28" i="40"/>
  <c r="AC28" i="40"/>
  <c r="AD28" i="40"/>
  <c r="AE28" i="40"/>
  <c r="AF28" i="40"/>
  <c r="AG28" i="40"/>
  <c r="AG33" i="40"/>
  <c r="AF33" i="40"/>
  <c r="AE33" i="40"/>
  <c r="AD33" i="40"/>
  <c r="AB33" i="40"/>
  <c r="AA33" i="40"/>
  <c r="Z33" i="40"/>
  <c r="Y33" i="40"/>
  <c r="X33" i="40"/>
  <c r="AC33" i="40"/>
  <c r="AB13" i="40"/>
  <c r="AC13" i="40"/>
  <c r="AD13" i="40"/>
  <c r="AE13" i="40"/>
  <c r="AF13" i="40"/>
  <c r="AG13" i="40"/>
  <c r="AB14" i="40"/>
  <c r="AC14" i="40"/>
  <c r="AD14" i="40"/>
  <c r="AE14" i="40"/>
  <c r="AF14" i="40"/>
  <c r="AG14" i="40"/>
  <c r="AB15" i="40"/>
  <c r="AC15" i="40"/>
  <c r="AD15" i="40"/>
  <c r="AE15" i="40"/>
  <c r="AF15" i="40"/>
  <c r="AG15" i="40"/>
  <c r="AB16" i="40"/>
  <c r="AC16" i="40"/>
  <c r="AD16" i="40"/>
  <c r="AE16" i="40"/>
  <c r="AF16" i="40"/>
  <c r="AG16" i="40"/>
  <c r="AB17" i="40"/>
  <c r="AC17" i="40"/>
  <c r="AD17" i="40"/>
  <c r="AE17" i="40"/>
  <c r="AF17" i="40"/>
  <c r="AG17" i="40"/>
  <c r="AB29" i="40"/>
  <c r="AC29" i="40"/>
  <c r="AD29" i="40"/>
  <c r="AE29" i="40"/>
  <c r="AF29" i="40"/>
  <c r="AG29" i="40"/>
  <c r="AA12" i="40"/>
  <c r="AB12" i="40"/>
  <c r="AC12" i="40"/>
  <c r="AD12" i="40"/>
  <c r="AE12" i="40"/>
  <c r="AF12" i="40"/>
  <c r="AG12" i="40"/>
  <c r="AA11" i="40"/>
  <c r="AB11" i="40"/>
  <c r="AC11" i="40"/>
  <c r="AD11" i="40"/>
  <c r="AE11" i="40"/>
  <c r="AF11" i="40"/>
  <c r="AG11" i="40"/>
  <c r="AA10" i="40"/>
  <c r="AB10" i="40"/>
  <c r="AC10" i="40"/>
  <c r="AD10" i="40"/>
  <c r="AE10" i="40"/>
  <c r="AF10" i="40"/>
  <c r="AG10" i="40"/>
  <c r="AG9" i="40"/>
  <c r="AF9" i="40"/>
  <c r="AE9" i="40"/>
  <c r="AD9" i="40"/>
  <c r="AC9" i="40"/>
  <c r="AB9" i="40"/>
  <c r="AA9" i="40"/>
  <c r="Z9" i="40"/>
  <c r="Y9" i="40"/>
  <c r="X9" i="40"/>
  <c r="V9" i="40"/>
  <c r="W9" i="40"/>
  <c r="W33" i="40"/>
  <c r="V33" i="40"/>
  <c r="U33" i="40"/>
  <c r="T33" i="40"/>
  <c r="S33" i="40"/>
  <c r="R33" i="40"/>
  <c r="Q33" i="40"/>
  <c r="P33" i="40"/>
  <c r="O33" i="40"/>
  <c r="N33" i="40"/>
  <c r="AA29" i="40"/>
  <c r="Z29" i="40"/>
  <c r="Y29" i="40"/>
  <c r="X29" i="40"/>
  <c r="W29" i="40"/>
  <c r="V29" i="40"/>
  <c r="U29" i="40"/>
  <c r="T29" i="40"/>
  <c r="S29" i="40"/>
  <c r="R29" i="40"/>
  <c r="Q29" i="40"/>
  <c r="P29" i="40"/>
  <c r="O29" i="40"/>
  <c r="N29" i="40"/>
  <c r="AA17" i="40"/>
  <c r="Z17" i="40"/>
  <c r="Y17" i="40"/>
  <c r="X17" i="40"/>
  <c r="W17" i="40"/>
  <c r="V17" i="40"/>
  <c r="U17" i="40"/>
  <c r="T17" i="40"/>
  <c r="S17" i="40"/>
  <c r="R17" i="40"/>
  <c r="Q17" i="40"/>
  <c r="P17" i="40"/>
  <c r="O17" i="40"/>
  <c r="N17" i="40"/>
  <c r="AA16" i="40"/>
  <c r="Z16" i="40"/>
  <c r="Y16" i="40"/>
  <c r="X16" i="40"/>
  <c r="W16" i="40"/>
  <c r="V16" i="40"/>
  <c r="U16" i="40"/>
  <c r="T16" i="40"/>
  <c r="S16" i="40"/>
  <c r="R16" i="40"/>
  <c r="Q16" i="40"/>
  <c r="P16" i="40"/>
  <c r="O16" i="40"/>
  <c r="N16" i="40"/>
  <c r="AA15" i="40"/>
  <c r="Z15" i="40"/>
  <c r="Y15" i="40"/>
  <c r="X15" i="40"/>
  <c r="W15" i="40"/>
  <c r="V15" i="40"/>
  <c r="U15" i="40"/>
  <c r="T15" i="40"/>
  <c r="S15" i="40"/>
  <c r="R15" i="40"/>
  <c r="Q15" i="40"/>
  <c r="P15" i="40"/>
  <c r="O15" i="40"/>
  <c r="N15" i="40"/>
  <c r="AA14" i="40"/>
  <c r="Z14" i="40"/>
  <c r="Y14" i="40"/>
  <c r="X14" i="40"/>
  <c r="W14" i="40"/>
  <c r="V14" i="40"/>
  <c r="U14" i="40"/>
  <c r="T14" i="40"/>
  <c r="S14" i="40"/>
  <c r="R14" i="40"/>
  <c r="Q14" i="40"/>
  <c r="P14" i="40"/>
  <c r="O14" i="40"/>
  <c r="N14" i="40"/>
  <c r="AA13" i="40"/>
  <c r="Z13" i="40"/>
  <c r="Y13" i="40"/>
  <c r="X13" i="40"/>
  <c r="W13" i="40"/>
  <c r="V13" i="40"/>
  <c r="U13" i="40"/>
  <c r="T13" i="40"/>
  <c r="S13" i="40"/>
  <c r="R13" i="40"/>
  <c r="Q13" i="40"/>
  <c r="P13" i="40"/>
  <c r="O13" i="40"/>
  <c r="N13" i="40"/>
  <c r="Z12" i="40"/>
  <c r="Y12" i="40"/>
  <c r="X12" i="40"/>
  <c r="W12" i="40"/>
  <c r="V12" i="40"/>
  <c r="U12" i="40"/>
  <c r="T12" i="40"/>
  <c r="S12" i="40"/>
  <c r="R12" i="40"/>
  <c r="Q12" i="40"/>
  <c r="P12" i="40"/>
  <c r="O12" i="40"/>
  <c r="N12" i="40"/>
  <c r="Z11" i="40"/>
  <c r="Y11" i="40"/>
  <c r="X11" i="40"/>
  <c r="W11" i="40"/>
  <c r="V11" i="40"/>
  <c r="U11" i="40"/>
  <c r="T11" i="40"/>
  <c r="S11" i="40"/>
  <c r="R11" i="40"/>
  <c r="Q11" i="40"/>
  <c r="P11" i="40"/>
  <c r="O11" i="40"/>
  <c r="N11" i="40"/>
  <c r="Z10" i="40"/>
  <c r="Y10" i="40"/>
  <c r="X10" i="40"/>
  <c r="W10" i="40"/>
  <c r="V10" i="40"/>
  <c r="U10" i="40"/>
  <c r="T10" i="40"/>
  <c r="S10" i="40"/>
  <c r="R10" i="40"/>
  <c r="Q10" i="40"/>
  <c r="P10" i="40"/>
  <c r="O10" i="40"/>
  <c r="N10" i="40"/>
  <c r="U9" i="40"/>
  <c r="T9" i="40"/>
  <c r="S9" i="40"/>
  <c r="R9" i="40"/>
  <c r="Q9" i="40"/>
  <c r="P9" i="40"/>
  <c r="O9" i="40"/>
  <c r="N9" i="40"/>
  <c r="I2" i="40"/>
  <c r="F1" i="40"/>
  <c r="W32" i="39"/>
  <c r="V32" i="39"/>
  <c r="U32" i="39"/>
  <c r="T32" i="39"/>
  <c r="S32" i="39"/>
  <c r="R32" i="39"/>
  <c r="Q32" i="39"/>
  <c r="P32" i="39"/>
  <c r="O32" i="39"/>
  <c r="N32" i="39"/>
  <c r="T11" i="39"/>
  <c r="S11" i="39"/>
  <c r="R11" i="39"/>
  <c r="Q11" i="39"/>
  <c r="P11" i="39"/>
  <c r="O11" i="39"/>
  <c r="N11" i="39"/>
  <c r="AB10" i="39"/>
  <c r="AA10" i="39"/>
  <c r="Z10" i="39"/>
  <c r="Y10" i="39"/>
  <c r="X10" i="39"/>
  <c r="W10" i="39"/>
  <c r="V10" i="39"/>
  <c r="U10" i="39"/>
  <c r="T10" i="39"/>
  <c r="S10" i="39"/>
  <c r="R10" i="39"/>
  <c r="Q10" i="39"/>
  <c r="P10" i="39"/>
  <c r="O10" i="39"/>
  <c r="N10" i="39"/>
  <c r="W9" i="39"/>
  <c r="V9" i="39"/>
  <c r="U9" i="39"/>
  <c r="T9" i="39"/>
  <c r="S9" i="39"/>
  <c r="R9" i="39"/>
  <c r="Q9" i="39"/>
  <c r="P9" i="39"/>
  <c r="O9" i="39"/>
  <c r="N9" i="39"/>
  <c r="I2" i="39"/>
  <c r="F1" i="39"/>
  <c r="W31" i="38"/>
  <c r="V31" i="38"/>
  <c r="U31" i="38"/>
  <c r="T31" i="38"/>
  <c r="S31" i="38"/>
  <c r="R31" i="38"/>
  <c r="Q31" i="38"/>
  <c r="P31" i="38"/>
  <c r="O31" i="38"/>
  <c r="N31" i="38"/>
  <c r="AB11" i="38"/>
  <c r="AB28" i="38" s="1"/>
  <c r="AA11" i="38"/>
  <c r="Z11" i="38"/>
  <c r="Y11" i="38"/>
  <c r="X11" i="38"/>
  <c r="W11" i="38"/>
  <c r="V11" i="38"/>
  <c r="U11" i="38"/>
  <c r="T11" i="38"/>
  <c r="S11" i="38"/>
  <c r="R11" i="38"/>
  <c r="Q11" i="38"/>
  <c r="P11" i="38"/>
  <c r="O11" i="38"/>
  <c r="N11" i="38"/>
  <c r="AB10" i="38"/>
  <c r="AA10" i="38"/>
  <c r="Z10" i="38"/>
  <c r="Y10" i="38"/>
  <c r="X10" i="38"/>
  <c r="W10" i="38"/>
  <c r="V10" i="38"/>
  <c r="U10" i="38"/>
  <c r="T10" i="38"/>
  <c r="T28" i="38" s="1"/>
  <c r="S10" i="38"/>
  <c r="R10" i="38"/>
  <c r="Q10" i="38"/>
  <c r="P10" i="38"/>
  <c r="O10" i="38"/>
  <c r="N10" i="38"/>
  <c r="W9" i="38"/>
  <c r="V9" i="38"/>
  <c r="U9" i="38"/>
  <c r="T9" i="38"/>
  <c r="S9" i="38"/>
  <c r="R9" i="38"/>
  <c r="Q9" i="38"/>
  <c r="P9" i="38"/>
  <c r="O9" i="38"/>
  <c r="N9" i="38"/>
  <c r="I2" i="38"/>
  <c r="F1" i="38"/>
  <c r="W30" i="37"/>
  <c r="V30" i="37"/>
  <c r="U30" i="37"/>
  <c r="T30" i="37"/>
  <c r="S30" i="37"/>
  <c r="R30" i="37"/>
  <c r="Q30" i="37"/>
  <c r="P30" i="37"/>
  <c r="O30" i="37"/>
  <c r="N30" i="37"/>
  <c r="AB15" i="37"/>
  <c r="AA15" i="37"/>
  <c r="Z15" i="37"/>
  <c r="Y15" i="37"/>
  <c r="X15" i="37"/>
  <c r="W15" i="37"/>
  <c r="V15" i="37"/>
  <c r="U15" i="37"/>
  <c r="T15" i="37"/>
  <c r="S15" i="37"/>
  <c r="R15" i="37"/>
  <c r="Q15" i="37"/>
  <c r="P15" i="37"/>
  <c r="O15" i="37"/>
  <c r="N15" i="37"/>
  <c r="AB14" i="37"/>
  <c r="AA14" i="37"/>
  <c r="Z14" i="37"/>
  <c r="Y14" i="37"/>
  <c r="X14" i="37"/>
  <c r="W14" i="37"/>
  <c r="V14" i="37"/>
  <c r="U14" i="37"/>
  <c r="T14" i="37"/>
  <c r="S14" i="37"/>
  <c r="R14" i="37"/>
  <c r="Q14" i="37"/>
  <c r="P14" i="37"/>
  <c r="O14" i="37"/>
  <c r="N14" i="37"/>
  <c r="AB13" i="37"/>
  <c r="AA13" i="37"/>
  <c r="Z13" i="37"/>
  <c r="Y13" i="37"/>
  <c r="X13" i="37"/>
  <c r="W13" i="37"/>
  <c r="V13" i="37"/>
  <c r="U13" i="37"/>
  <c r="T13" i="37"/>
  <c r="S13" i="37"/>
  <c r="R13" i="37"/>
  <c r="Q13" i="37"/>
  <c r="P13" i="37"/>
  <c r="O13" i="37"/>
  <c r="N13" i="37"/>
  <c r="AB12" i="37"/>
  <c r="AA12" i="37"/>
  <c r="Z12" i="37"/>
  <c r="Y12" i="37"/>
  <c r="X12" i="37"/>
  <c r="W12" i="37"/>
  <c r="V12" i="37"/>
  <c r="U12" i="37"/>
  <c r="T12" i="37"/>
  <c r="S12" i="37"/>
  <c r="R12" i="37"/>
  <c r="Q12" i="37"/>
  <c r="P12" i="37"/>
  <c r="O12" i="37"/>
  <c r="N12" i="37"/>
  <c r="AB11" i="37"/>
  <c r="AA11" i="37"/>
  <c r="Z11" i="37"/>
  <c r="Y11" i="37"/>
  <c r="X11" i="37"/>
  <c r="W11" i="37"/>
  <c r="V11" i="37"/>
  <c r="U11" i="37"/>
  <c r="T11" i="37"/>
  <c r="S11" i="37"/>
  <c r="R11" i="37"/>
  <c r="Q11" i="37"/>
  <c r="P11" i="37"/>
  <c r="O11" i="37"/>
  <c r="N11" i="37"/>
  <c r="AB10" i="37"/>
  <c r="AA10" i="37"/>
  <c r="Z10" i="37"/>
  <c r="Y10" i="37"/>
  <c r="X10" i="37"/>
  <c r="W10" i="37"/>
  <c r="V10" i="37"/>
  <c r="U10" i="37"/>
  <c r="T10" i="37"/>
  <c r="S10" i="37"/>
  <c r="R10" i="37"/>
  <c r="Q10" i="37"/>
  <c r="P10" i="37"/>
  <c r="O10" i="37"/>
  <c r="N10" i="37"/>
  <c r="W9" i="37"/>
  <c r="V9" i="37"/>
  <c r="U9" i="37"/>
  <c r="T9" i="37"/>
  <c r="S9" i="37"/>
  <c r="R9" i="37"/>
  <c r="Q9" i="37"/>
  <c r="P9" i="37"/>
  <c r="O9" i="37"/>
  <c r="N9" i="37"/>
  <c r="I2" i="37"/>
  <c r="F1" i="37"/>
  <c r="W29" i="36"/>
  <c r="V29" i="36"/>
  <c r="U29" i="36"/>
  <c r="T29" i="36"/>
  <c r="S29" i="36"/>
  <c r="R29" i="36"/>
  <c r="Q29" i="36"/>
  <c r="P29" i="36"/>
  <c r="O29" i="36"/>
  <c r="N29" i="36"/>
  <c r="AB11" i="36"/>
  <c r="AA11" i="36"/>
  <c r="Z11" i="36"/>
  <c r="Y11" i="36"/>
  <c r="X11" i="36"/>
  <c r="W11" i="36"/>
  <c r="V11" i="36"/>
  <c r="U11" i="36"/>
  <c r="T11" i="36"/>
  <c r="S11" i="36"/>
  <c r="R11" i="36"/>
  <c r="Q11" i="36"/>
  <c r="P11" i="36"/>
  <c r="O11" i="36"/>
  <c r="N11" i="36"/>
  <c r="AB10" i="36"/>
  <c r="AA10" i="36"/>
  <c r="Z10" i="36"/>
  <c r="Y10" i="36"/>
  <c r="X10" i="36"/>
  <c r="W10" i="36"/>
  <c r="V10" i="36"/>
  <c r="U10" i="36"/>
  <c r="T10" i="36"/>
  <c r="S10" i="36"/>
  <c r="R10" i="36"/>
  <c r="Q10" i="36"/>
  <c r="P10" i="36"/>
  <c r="O10" i="36"/>
  <c r="N10" i="36"/>
  <c r="W9" i="36"/>
  <c r="V9" i="36"/>
  <c r="U9" i="36"/>
  <c r="T9" i="36"/>
  <c r="S9" i="36"/>
  <c r="R9" i="36"/>
  <c r="Q9" i="36"/>
  <c r="P9" i="36"/>
  <c r="O9" i="36"/>
  <c r="N9" i="36"/>
  <c r="I2" i="36"/>
  <c r="F1" i="36"/>
  <c r="Z30" i="40" l="1"/>
  <c r="Z31" i="40" s="1"/>
  <c r="N30" i="40"/>
  <c r="N31" i="40" s="1"/>
  <c r="AH31" i="41"/>
  <c r="X31" i="41"/>
  <c r="Y31" i="41"/>
  <c r="AA31" i="41"/>
  <c r="O31" i="41"/>
  <c r="P31" i="41"/>
  <c r="Q31" i="41"/>
  <c r="Z31" i="41"/>
  <c r="S31" i="41"/>
  <c r="T31" i="41"/>
  <c r="AF31" i="41"/>
  <c r="AB31" i="41"/>
  <c r="AC31" i="41"/>
  <c r="N31" i="41"/>
  <c r="AE31" i="41"/>
  <c r="U31" i="41"/>
  <c r="V31" i="41"/>
  <c r="R31" i="41"/>
  <c r="AD31" i="41"/>
  <c r="AG31" i="41"/>
  <c r="W31" i="41"/>
  <c r="X32" i="42"/>
  <c r="U32" i="42"/>
  <c r="AG32" i="42"/>
  <c r="AI32" i="42"/>
  <c r="AH32" i="42"/>
  <c r="W32" i="42"/>
  <c r="Y32" i="42"/>
  <c r="AA32" i="42"/>
  <c r="P32" i="42"/>
  <c r="AB32" i="42"/>
  <c r="N32" i="42"/>
  <c r="R32" i="42"/>
  <c r="AD32" i="42"/>
  <c r="V32" i="42"/>
  <c r="O32" i="42"/>
  <c r="AC32" i="42"/>
  <c r="S32" i="42"/>
  <c r="AE32" i="42"/>
  <c r="Z32" i="42"/>
  <c r="Q32" i="42"/>
  <c r="T32" i="42"/>
  <c r="AF32" i="42"/>
  <c r="V33" i="43"/>
  <c r="AH33" i="43"/>
  <c r="AI33" i="43"/>
  <c r="AJ33" i="43"/>
  <c r="AE33" i="43"/>
  <c r="T33" i="43"/>
  <c r="AF33" i="43"/>
  <c r="S33" i="43"/>
  <c r="U33" i="43"/>
  <c r="AG33" i="43"/>
  <c r="R33" i="43"/>
  <c r="X33" i="43"/>
  <c r="X34" i="43" s="1"/>
  <c r="P33" i="43"/>
  <c r="Y33" i="43"/>
  <c r="N33" i="43"/>
  <c r="Z33" i="43"/>
  <c r="O33" i="43"/>
  <c r="AA33" i="43"/>
  <c r="W33" i="43"/>
  <c r="AB33" i="43"/>
  <c r="Q33" i="43"/>
  <c r="AC33" i="43"/>
  <c r="AD33" i="43"/>
  <c r="Z34" i="44"/>
  <c r="X34" i="44"/>
  <c r="Y34" i="44"/>
  <c r="AH34" i="44"/>
  <c r="AI34" i="44"/>
  <c r="P34" i="44"/>
  <c r="AE34" i="44"/>
  <c r="AF34" i="44"/>
  <c r="U34" i="44"/>
  <c r="AG34" i="44"/>
  <c r="AC34" i="44"/>
  <c r="S34" i="44"/>
  <c r="T34" i="44"/>
  <c r="V34" i="44"/>
  <c r="R34" i="44"/>
  <c r="AD34" i="44"/>
  <c r="AB34" i="44"/>
  <c r="Q34" i="44"/>
  <c r="W34" i="44"/>
  <c r="O34" i="44"/>
  <c r="AA34" i="44"/>
  <c r="AK34" i="44"/>
  <c r="AG35" i="45"/>
  <c r="AG36" i="45" s="1"/>
  <c r="W35" i="45"/>
  <c r="W36" i="45" s="1"/>
  <c r="O35" i="45"/>
  <c r="O36" i="45" s="1"/>
  <c r="AA35" i="45"/>
  <c r="AA36" i="45" s="1"/>
  <c r="X35" i="45"/>
  <c r="X36" i="45" s="1"/>
  <c r="AH35" i="45"/>
  <c r="AH36" i="45" s="1"/>
  <c r="AI35" i="45"/>
  <c r="AI36" i="45" s="1"/>
  <c r="AJ35" i="45"/>
  <c r="AJ36" i="45" s="1"/>
  <c r="U35" i="45"/>
  <c r="U36" i="45" s="1"/>
  <c r="V35" i="45"/>
  <c r="V36" i="45" s="1"/>
  <c r="AK35" i="45"/>
  <c r="AK36" i="45" s="1"/>
  <c r="AD35" i="45"/>
  <c r="AD36" i="45" s="1"/>
  <c r="Y35" i="45"/>
  <c r="Y36" i="45" s="1"/>
  <c r="Z35" i="45"/>
  <c r="Z36" i="45" s="1"/>
  <c r="AB35" i="45"/>
  <c r="AB36" i="45" s="1"/>
  <c r="Q35" i="45"/>
  <c r="Q36" i="45" s="1"/>
  <c r="S35" i="45"/>
  <c r="S36" i="45" s="1"/>
  <c r="AE35" i="45"/>
  <c r="AE36" i="45" s="1"/>
  <c r="R35" i="45"/>
  <c r="R36" i="45" s="1"/>
  <c r="N35" i="45"/>
  <c r="N36" i="45" s="1"/>
  <c r="P35" i="45"/>
  <c r="P36" i="45" s="1"/>
  <c r="AC35" i="45"/>
  <c r="AC36" i="45" s="1"/>
  <c r="T35" i="45"/>
  <c r="T36" i="45" s="1"/>
  <c r="AF35" i="45"/>
  <c r="AF36" i="45" s="1"/>
  <c r="X28" i="38"/>
  <c r="P28" i="38"/>
  <c r="R30" i="40"/>
  <c r="R31" i="40" s="1"/>
  <c r="AD30" i="40"/>
  <c r="AD31" i="40" s="1"/>
  <c r="V30" i="40"/>
  <c r="V31" i="40" s="1"/>
  <c r="T26" i="36"/>
  <c r="P26" i="36"/>
  <c r="X26" i="36"/>
  <c r="AC26" i="36"/>
  <c r="N26" i="36"/>
  <c r="R26" i="36"/>
  <c r="V26" i="36"/>
  <c r="Z26" i="36"/>
  <c r="AB26" i="36"/>
  <c r="O26" i="36"/>
  <c r="S26" i="36"/>
  <c r="W26" i="36"/>
  <c r="AA26" i="36"/>
  <c r="Q26" i="36"/>
  <c r="U26" i="36"/>
  <c r="Y26" i="36"/>
  <c r="P27" i="37"/>
  <c r="T27" i="37"/>
  <c r="X27" i="37"/>
  <c r="AB27" i="37"/>
  <c r="AC27" i="37"/>
  <c r="Q27" i="37"/>
  <c r="U27" i="37"/>
  <c r="Y27" i="37"/>
  <c r="N27" i="37"/>
  <c r="R27" i="37"/>
  <c r="V27" i="37"/>
  <c r="Z27" i="37"/>
  <c r="O27" i="37"/>
  <c r="S27" i="37"/>
  <c r="W27" i="37"/>
  <c r="AA27" i="37"/>
  <c r="AD27" i="37"/>
  <c r="N28" i="38"/>
  <c r="R28" i="38"/>
  <c r="V28" i="38"/>
  <c r="Z28" i="38"/>
  <c r="O28" i="38"/>
  <c r="S28" i="38"/>
  <c r="W28" i="38"/>
  <c r="AA28" i="38"/>
  <c r="AC28" i="38"/>
  <c r="AD28" i="38"/>
  <c r="AE28" i="38"/>
  <c r="Q28" i="38"/>
  <c r="U28" i="38"/>
  <c r="Y28" i="38"/>
  <c r="AC29" i="39"/>
  <c r="AD29" i="39"/>
  <c r="T29" i="39"/>
  <c r="X29" i="39"/>
  <c r="AB29" i="39"/>
  <c r="P29" i="39"/>
  <c r="Q29" i="39"/>
  <c r="U29" i="39"/>
  <c r="Y29" i="39"/>
  <c r="N29" i="39"/>
  <c r="R29" i="39"/>
  <c r="V29" i="39"/>
  <c r="Z29" i="39"/>
  <c r="O29" i="39"/>
  <c r="S29" i="39"/>
  <c r="AF29" i="39"/>
  <c r="W29" i="39"/>
  <c r="AA29" i="39"/>
  <c r="AF30" i="40"/>
  <c r="AF31" i="40" s="1"/>
  <c r="AB30" i="40"/>
  <c r="AB31" i="40" s="1"/>
  <c r="AC30" i="40"/>
  <c r="AC31" i="40" s="1"/>
  <c r="AE30" i="40"/>
  <c r="AE31" i="40" s="1"/>
  <c r="AG30" i="40"/>
  <c r="AG31" i="40" s="1"/>
  <c r="P30" i="40"/>
  <c r="P31" i="40" s="1"/>
  <c r="T30" i="40"/>
  <c r="T31" i="40" s="1"/>
  <c r="X30" i="40"/>
  <c r="X31" i="40" s="1"/>
  <c r="O30" i="40"/>
  <c r="O31" i="40" s="1"/>
  <c r="S30" i="40"/>
  <c r="S31" i="40" s="1"/>
  <c r="W30" i="40"/>
  <c r="W31" i="40" s="1"/>
  <c r="AA30" i="40"/>
  <c r="AA31" i="40" s="1"/>
  <c r="Q30" i="40"/>
  <c r="Q31" i="40" s="1"/>
  <c r="U30" i="40"/>
  <c r="U31" i="40" s="1"/>
  <c r="Y30" i="40"/>
  <c r="Y31" i="40" s="1"/>
  <c r="F1" i="35"/>
  <c r="F1" i="34"/>
  <c r="F1" i="33"/>
  <c r="F1" i="32"/>
  <c r="F1" i="31"/>
  <c r="F1" i="30"/>
  <c r="F1" i="29"/>
  <c r="F1" i="28"/>
  <c r="F1" i="27"/>
  <c r="F1" i="26"/>
  <c r="F1" i="25"/>
  <c r="F1" i="24"/>
  <c r="H17" i="40"/>
  <c r="H18" i="44"/>
  <c r="H14" i="44"/>
  <c r="I28" i="40"/>
  <c r="H27" i="40"/>
  <c r="H5" i="41"/>
  <c r="G18" i="37"/>
  <c r="H18" i="37"/>
  <c r="G16" i="37"/>
  <c r="G20" i="37"/>
  <c r="G20" i="36"/>
  <c r="G13" i="45"/>
  <c r="I29" i="40"/>
  <c r="H19" i="45"/>
  <c r="H29" i="43"/>
  <c r="G14" i="42"/>
  <c r="I3" i="41"/>
  <c r="I17" i="42"/>
  <c r="G28" i="40"/>
  <c r="G15" i="36"/>
  <c r="I11" i="42"/>
  <c r="G12" i="37"/>
  <c r="G12" i="44"/>
  <c r="H3" i="36"/>
  <c r="H17" i="43"/>
  <c r="G20" i="42"/>
  <c r="I21" i="38"/>
  <c r="G12" i="39"/>
  <c r="G28" i="39"/>
  <c r="H24" i="41"/>
  <c r="H19" i="43"/>
  <c r="I24" i="44"/>
  <c r="I14" i="45"/>
  <c r="H21" i="41"/>
  <c r="I15" i="38"/>
  <c r="G29" i="44"/>
  <c r="G25" i="41"/>
  <c r="H24" i="45"/>
  <c r="I17" i="36"/>
  <c r="M5" i="39"/>
  <c r="H17" i="42"/>
  <c r="H23" i="42"/>
  <c r="M5" i="40"/>
  <c r="I15" i="43"/>
  <c r="H4" i="40"/>
  <c r="H26" i="44"/>
  <c r="H14" i="45"/>
  <c r="I10" i="44"/>
  <c r="I24" i="38"/>
  <c r="H18" i="42"/>
  <c r="H10" i="43"/>
  <c r="M3" i="38"/>
  <c r="I16" i="40"/>
  <c r="I25" i="44"/>
  <c r="I16" i="42"/>
  <c r="I13" i="42"/>
  <c r="H5" i="36"/>
  <c r="G18" i="36"/>
  <c r="H34" i="45"/>
  <c r="I12" i="42"/>
  <c r="G29" i="45"/>
  <c r="H3" i="40"/>
  <c r="I32" i="45"/>
  <c r="I27" i="42"/>
  <c r="H19" i="42"/>
  <c r="G29" i="43"/>
  <c r="G24" i="41"/>
  <c r="G18" i="41"/>
  <c r="M5" i="44"/>
  <c r="H28" i="43"/>
  <c r="I3" i="38"/>
  <c r="G23" i="37"/>
  <c r="H13" i="44"/>
  <c r="H3" i="45"/>
  <c r="H12" i="43"/>
  <c r="H26" i="42"/>
  <c r="G23" i="43"/>
  <c r="H12" i="37"/>
  <c r="G12" i="41"/>
  <c r="H24" i="38"/>
  <c r="H14" i="43"/>
  <c r="I22" i="44"/>
  <c r="I18" i="37"/>
  <c r="G11" i="45"/>
  <c r="M4" i="37"/>
  <c r="I29" i="45"/>
  <c r="I20" i="36"/>
  <c r="H16" i="42"/>
  <c r="I3" i="43"/>
  <c r="I25" i="42"/>
  <c r="G10" i="45"/>
  <c r="I21" i="39"/>
  <c r="I5" i="41"/>
  <c r="I5" i="40"/>
  <c r="H27" i="44"/>
  <c r="M3" i="37"/>
  <c r="H23" i="39"/>
  <c r="I12" i="40"/>
  <c r="H15" i="45"/>
  <c r="I28" i="41"/>
  <c r="G18" i="43"/>
  <c r="G28" i="43"/>
  <c r="I17" i="45"/>
  <c r="G10" i="38"/>
  <c r="G12" i="36"/>
  <c r="H11" i="45"/>
  <c r="G23" i="41"/>
  <c r="H15" i="42"/>
  <c r="I19" i="41"/>
  <c r="H15" i="40"/>
  <c r="I26" i="39"/>
  <c r="H26" i="43"/>
  <c r="G17" i="43"/>
  <c r="G13" i="41"/>
  <c r="I27" i="38"/>
  <c r="G32" i="45"/>
  <c r="G15" i="41"/>
  <c r="H27" i="42"/>
  <c r="H19" i="40"/>
  <c r="M3" i="45"/>
  <c r="H27" i="39"/>
  <c r="H11" i="38"/>
  <c r="I17" i="44"/>
  <c r="I14" i="44"/>
  <c r="G17" i="44"/>
  <c r="H27" i="43"/>
  <c r="I27" i="41"/>
  <c r="H14" i="37"/>
  <c r="H11" i="36"/>
  <c r="H16" i="43"/>
  <c r="H11" i="44"/>
  <c r="I28" i="39"/>
  <c r="I10" i="40"/>
  <c r="I13" i="38"/>
  <c r="G12" i="43"/>
  <c r="M4" i="42"/>
  <c r="H29" i="42"/>
  <c r="H25" i="45"/>
  <c r="I20" i="37"/>
  <c r="I23" i="43"/>
  <c r="H20" i="45"/>
  <c r="M4" i="39"/>
  <c r="I24" i="39"/>
  <c r="H5" i="43"/>
  <c r="I22" i="43"/>
  <c r="H10" i="42"/>
  <c r="H29" i="40"/>
  <c r="I21" i="36"/>
  <c r="H26" i="38"/>
  <c r="H10" i="36"/>
  <c r="H22" i="41"/>
  <c r="H23" i="37"/>
  <c r="G28" i="42"/>
  <c r="I14" i="38"/>
  <c r="G19" i="39"/>
  <c r="G27" i="42"/>
  <c r="I12" i="44"/>
  <c r="H20" i="44"/>
  <c r="H4" i="38"/>
  <c r="I27" i="39"/>
  <c r="H24" i="37"/>
  <c r="H13" i="40"/>
  <c r="H20" i="43"/>
  <c r="M4" i="38"/>
  <c r="I17" i="37"/>
  <c r="G15" i="44"/>
  <c r="I25" i="37"/>
  <c r="G19" i="43"/>
  <c r="G25" i="42"/>
  <c r="H25" i="42"/>
  <c r="I30" i="45"/>
  <c r="I14" i="36"/>
  <c r="G24" i="43"/>
  <c r="H22" i="38"/>
  <c r="I30" i="42"/>
  <c r="G29" i="40"/>
  <c r="M5" i="42"/>
  <c r="H22" i="45"/>
  <c r="I28" i="43"/>
  <c r="I31" i="45"/>
  <c r="H15" i="38"/>
  <c r="I19" i="44"/>
  <c r="G16" i="43"/>
  <c r="I31" i="43"/>
  <c r="I31" i="44"/>
  <c r="H22" i="43"/>
  <c r="I19" i="40"/>
  <c r="I23" i="41"/>
  <c r="G20" i="39"/>
  <c r="G30" i="42"/>
  <c r="H31" i="42"/>
  <c r="I11" i="38"/>
  <c r="I28" i="45"/>
  <c r="I19" i="43"/>
  <c r="I33" i="44"/>
  <c r="G15" i="40"/>
  <c r="I26" i="41"/>
  <c r="H17" i="36"/>
  <c r="G24" i="37"/>
  <c r="I20" i="38"/>
  <c r="H22" i="44"/>
  <c r="G24" i="44"/>
  <c r="G11" i="42"/>
  <c r="G21" i="39"/>
  <c r="H5" i="37"/>
  <c r="G30" i="43"/>
  <c r="I13" i="43"/>
  <c r="I13" i="41"/>
  <c r="H23" i="36"/>
  <c r="G21" i="43"/>
  <c r="H10" i="39"/>
  <c r="H20" i="39"/>
  <c r="I13" i="36"/>
  <c r="G14" i="41"/>
  <c r="G11" i="40"/>
  <c r="G26" i="45"/>
  <c r="G26" i="41"/>
  <c r="I19" i="39"/>
  <c r="I25" i="41"/>
  <c r="I25" i="36"/>
  <c r="I19" i="38"/>
  <c r="G14" i="39"/>
  <c r="I17" i="43"/>
  <c r="G22" i="40"/>
  <c r="I25" i="45"/>
  <c r="I15" i="45"/>
  <c r="G10" i="42"/>
  <c r="G18" i="42"/>
  <c r="H23" i="45"/>
  <c r="G14" i="44"/>
  <c r="H16" i="41"/>
  <c r="G13" i="42"/>
  <c r="H13" i="36"/>
  <c r="I5" i="38"/>
  <c r="I33" i="45"/>
  <c r="H16" i="40"/>
  <c r="H24" i="36"/>
  <c r="I31" i="42"/>
  <c r="H19" i="38"/>
  <c r="H25" i="40"/>
  <c r="I15" i="40"/>
  <c r="G18" i="40"/>
  <c r="I26" i="43"/>
  <c r="I18" i="39"/>
  <c r="G20" i="40"/>
  <c r="G27" i="41"/>
  <c r="H3" i="43"/>
  <c r="I23" i="36"/>
  <c r="I11" i="39"/>
  <c r="M3" i="43"/>
  <c r="I25" i="40"/>
  <c r="G28" i="41"/>
  <c r="H30" i="44"/>
  <c r="I24" i="42"/>
  <c r="I23" i="38"/>
  <c r="H17" i="37"/>
  <c r="G14" i="37"/>
  <c r="G15" i="42"/>
  <c r="I3" i="36"/>
  <c r="G16" i="36"/>
  <c r="I14" i="40"/>
  <c r="G16" i="42"/>
  <c r="H25" i="43"/>
  <c r="I5" i="45"/>
  <c r="G29" i="42"/>
  <c r="I24" i="40"/>
  <c r="M4" i="36"/>
  <c r="G24" i="40"/>
  <c r="G17" i="39"/>
  <c r="H24" i="43"/>
  <c r="G25" i="45"/>
  <c r="H29" i="45"/>
  <c r="H22" i="39"/>
  <c r="I18" i="42"/>
  <c r="I3" i="45"/>
  <c r="G14" i="43"/>
  <c r="H13" i="45"/>
  <c r="I19" i="36"/>
  <c r="H30" i="43"/>
  <c r="I21" i="42"/>
  <c r="H13" i="43"/>
  <c r="I22" i="38"/>
  <c r="H25" i="38"/>
  <c r="G24" i="45"/>
  <c r="G34" i="45"/>
  <c r="H25" i="44"/>
  <c r="H10" i="38"/>
  <c r="G21" i="36"/>
  <c r="I17" i="41"/>
  <c r="G15" i="43"/>
  <c r="G24" i="38"/>
  <c r="H17" i="41"/>
  <c r="I13" i="40"/>
  <c r="I22" i="45"/>
  <c r="I12" i="36"/>
  <c r="I22" i="37"/>
  <c r="I27" i="44"/>
  <c r="G24" i="39"/>
  <c r="G27" i="40"/>
  <c r="G19" i="44"/>
  <c r="H4" i="44"/>
  <c r="G18" i="44"/>
  <c r="I12" i="39"/>
  <c r="H31" i="43"/>
  <c r="G23" i="42"/>
  <c r="H22" i="36"/>
  <c r="I16" i="45"/>
  <c r="H10" i="41"/>
  <c r="H16" i="39"/>
  <c r="H3" i="39"/>
  <c r="H20" i="36"/>
  <c r="I18" i="41"/>
  <c r="G13" i="43"/>
  <c r="G25" i="38"/>
  <c r="G25" i="44"/>
  <c r="H14" i="38"/>
  <c r="G15" i="37"/>
  <c r="I16" i="39"/>
  <c r="I21" i="43"/>
  <c r="M3" i="41"/>
  <c r="H33" i="45"/>
  <c r="H15" i="37"/>
  <c r="G13" i="36"/>
  <c r="G11" i="38"/>
  <c r="I10" i="39"/>
  <c r="G23" i="39"/>
  <c r="I27" i="40"/>
  <c r="H16" i="45"/>
  <c r="I4" i="41"/>
  <c r="G20" i="38"/>
  <c r="H13" i="42"/>
  <c r="M5" i="43"/>
  <c r="I4" i="38"/>
  <c r="G11" i="41"/>
  <c r="G32" i="44"/>
  <c r="G31" i="44"/>
  <c r="G12" i="40"/>
  <c r="H13" i="38"/>
  <c r="H19" i="36"/>
  <c r="H24" i="42"/>
  <c r="H3" i="37"/>
  <c r="H21" i="40"/>
  <c r="G10" i="37"/>
  <c r="H3" i="41"/>
  <c r="H13" i="39"/>
  <c r="H28" i="45"/>
  <c r="G16" i="39"/>
  <c r="G17" i="42"/>
  <c r="G17" i="40"/>
  <c r="G17" i="45"/>
  <c r="H25" i="37"/>
  <c r="I21" i="45"/>
  <c r="I5" i="44"/>
  <c r="H23" i="38"/>
  <c r="G13" i="44"/>
  <c r="G22" i="42"/>
  <c r="I20" i="43"/>
  <c r="G28" i="44"/>
  <c r="G22" i="39"/>
  <c r="G24" i="42"/>
  <c r="M4" i="41"/>
  <c r="H22" i="40"/>
  <c r="I29" i="43"/>
  <c r="H16" i="44"/>
  <c r="M5" i="38"/>
  <c r="H26" i="37"/>
  <c r="I5" i="42"/>
  <c r="I26" i="42"/>
  <c r="G20" i="45"/>
  <c r="H14" i="39"/>
  <c r="H27" i="38"/>
  <c r="H14" i="40"/>
  <c r="I23" i="39"/>
  <c r="H32" i="43"/>
  <c r="I22" i="36"/>
  <c r="I30" i="43"/>
  <c r="G28" i="45"/>
  <c r="I30" i="41"/>
  <c r="G21" i="41"/>
  <c r="H18" i="45"/>
  <c r="G13" i="40"/>
  <c r="H23" i="43"/>
  <c r="H21" i="39"/>
  <c r="I19" i="45"/>
  <c r="I5" i="37"/>
  <c r="G22" i="41"/>
  <c r="H23" i="41"/>
  <c r="I20" i="45"/>
  <c r="I15" i="36"/>
  <c r="I13" i="37"/>
  <c r="H28" i="40"/>
  <c r="H5" i="40"/>
  <c r="G18" i="38"/>
  <c r="I14" i="43"/>
  <c r="H4" i="36"/>
  <c r="I20" i="40"/>
  <c r="G19" i="42"/>
  <c r="G19" i="41"/>
  <c r="I23" i="37"/>
  <c r="H13" i="37"/>
  <c r="H27" i="41"/>
  <c r="H15" i="39"/>
  <c r="G11" i="44"/>
  <c r="G27" i="38"/>
  <c r="H15" i="43"/>
  <c r="H16" i="37"/>
  <c r="I10" i="43"/>
  <c r="I28" i="44"/>
  <c r="H20" i="40"/>
  <c r="I4" i="36"/>
  <c r="I12" i="45"/>
  <c r="I23" i="45"/>
  <c r="M4" i="40"/>
  <c r="I14" i="39"/>
  <c r="G31" i="45"/>
  <c r="H26" i="40"/>
  <c r="G21" i="44"/>
  <c r="I15" i="41"/>
  <c r="H19" i="41"/>
  <c r="H21" i="44"/>
  <c r="H26" i="41"/>
  <c r="I10" i="45"/>
  <c r="H19" i="39"/>
  <c r="H27" i="45"/>
  <c r="H20" i="41"/>
  <c r="I4" i="42"/>
  <c r="I24" i="43"/>
  <c r="G14" i="45"/>
  <c r="I14" i="41"/>
  <c r="H25" i="36"/>
  <c r="G29" i="41"/>
  <c r="H11" i="41"/>
  <c r="G21" i="38"/>
  <c r="G25" i="36"/>
  <c r="I22" i="40"/>
  <c r="I26" i="45"/>
  <c r="G25" i="39"/>
  <c r="I11" i="45"/>
  <c r="G27" i="45"/>
  <c r="I21" i="41"/>
  <c r="I4" i="43"/>
  <c r="G20" i="44"/>
  <c r="H4" i="42"/>
  <c r="G26" i="37"/>
  <c r="H30" i="45"/>
  <c r="I3" i="39"/>
  <c r="I30" i="44"/>
  <c r="I10" i="38"/>
  <c r="H21" i="36"/>
  <c r="G19" i="40"/>
  <c r="H26" i="45"/>
  <c r="H12" i="41"/>
  <c r="H10" i="45"/>
  <c r="H20" i="37"/>
  <c r="H17" i="39"/>
  <c r="I32" i="44"/>
  <c r="H12" i="45"/>
  <c r="G19" i="45"/>
  <c r="G15" i="38"/>
  <c r="G30" i="44"/>
  <c r="I17" i="39"/>
  <c r="H21" i="43"/>
  <c r="G14" i="40"/>
  <c r="I12" i="41"/>
  <c r="G23" i="45"/>
  <c r="I20" i="44"/>
  <c r="I3" i="42"/>
  <c r="I25" i="43"/>
  <c r="H17" i="45"/>
  <c r="M5" i="37"/>
  <c r="H15" i="41"/>
  <c r="G32" i="43"/>
  <c r="H19" i="37"/>
  <c r="G17" i="36"/>
  <c r="H5" i="39"/>
  <c r="I15" i="37"/>
  <c r="M5" i="45"/>
  <c r="I20" i="41"/>
  <c r="G15" i="45"/>
  <c r="G18" i="45"/>
  <c r="G25" i="43"/>
  <c r="G22" i="45"/>
  <c r="I17" i="40"/>
  <c r="G17" i="41"/>
  <c r="H4" i="39"/>
  <c r="H24" i="40"/>
  <c r="G11" i="43"/>
  <c r="I5" i="36"/>
  <c r="H18" i="41"/>
  <c r="I16" i="37"/>
  <c r="I24" i="41"/>
  <c r="G31" i="43"/>
  <c r="I3" i="37"/>
  <c r="H10" i="40"/>
  <c r="I3" i="44"/>
  <c r="I22" i="39"/>
  <c r="H5" i="44"/>
  <c r="H25" i="41"/>
  <c r="M5" i="36"/>
  <c r="H11" i="37"/>
  <c r="G19" i="37"/>
  <c r="H5" i="45"/>
  <c r="H11" i="42"/>
  <c r="G21" i="40"/>
  <c r="I14" i="37"/>
  <c r="H19" i="44"/>
  <c r="I29" i="42"/>
  <c r="H18" i="43"/>
  <c r="I11" i="40"/>
  <c r="G33" i="44"/>
  <c r="I13" i="39"/>
  <c r="I20" i="42"/>
  <c r="G12" i="45"/>
  <c r="I4" i="40"/>
  <c r="G20" i="43"/>
  <c r="H5" i="42"/>
  <c r="G12" i="38"/>
  <c r="H4" i="37"/>
  <c r="M3" i="44"/>
  <c r="I25" i="39"/>
  <c r="I11" i="44"/>
  <c r="G27" i="43"/>
  <c r="G19" i="36"/>
  <c r="H31" i="44"/>
  <c r="I15" i="39"/>
  <c r="I14" i="42"/>
  <c r="H4" i="41"/>
  <c r="I22" i="42"/>
  <c r="H5" i="38"/>
  <c r="G16" i="45"/>
  <c r="I24" i="45"/>
  <c r="G25" i="37"/>
  <c r="G26" i="39"/>
  <c r="G31" i="42"/>
  <c r="H17" i="44"/>
  <c r="G16" i="40"/>
  <c r="I32" i="43"/>
  <c r="M4" i="44"/>
  <c r="G14" i="38"/>
  <c r="H26" i="39"/>
  <c r="H14" i="36"/>
  <c r="G25" i="40"/>
  <c r="G30" i="41"/>
  <c r="G24" i="36"/>
  <c r="H32" i="44"/>
  <c r="G23" i="44"/>
  <c r="G12" i="42"/>
  <c r="H12" i="36"/>
  <c r="H14" i="42"/>
  <c r="H12" i="38"/>
  <c r="I16" i="44"/>
  <c r="I16" i="38"/>
  <c r="H29" i="44"/>
  <c r="G22" i="44"/>
  <c r="H21" i="37"/>
  <c r="I24" i="36"/>
  <c r="G17" i="37"/>
  <c r="H24" i="39"/>
  <c r="H21" i="38"/>
  <c r="H22" i="37"/>
  <c r="I10" i="36"/>
  <c r="I4" i="37"/>
  <c r="M3" i="36"/>
  <c r="G30" i="45"/>
  <c r="M4" i="45"/>
  <c r="G26" i="44"/>
  <c r="H30" i="41"/>
  <c r="I26" i="44"/>
  <c r="G10" i="36"/>
  <c r="H20" i="38"/>
  <c r="G10" i="40"/>
  <c r="M4" i="43"/>
  <c r="G14" i="36"/>
  <c r="G16" i="38"/>
  <c r="G10" i="39"/>
  <c r="I21" i="37"/>
  <c r="M5" i="41"/>
  <c r="I12" i="37"/>
  <c r="I17" i="38"/>
  <c r="H11" i="43"/>
  <c r="H31" i="45"/>
  <c r="H29" i="41"/>
  <c r="H28" i="41"/>
  <c r="G22" i="43"/>
  <c r="H28" i="39"/>
  <c r="G22" i="36"/>
  <c r="G21" i="37"/>
  <c r="I18" i="38"/>
  <c r="H15" i="36"/>
  <c r="G10" i="44"/>
  <c r="I20" i="39"/>
  <c r="I11" i="43"/>
  <c r="G21" i="42"/>
  <c r="I27" i="45"/>
  <c r="H16" i="36"/>
  <c r="H23" i="40"/>
  <c r="I18" i="45"/>
  <c r="H12" i="42"/>
  <c r="G27" i="44"/>
  <c r="I21" i="40"/>
  <c r="G26" i="38"/>
  <c r="G10" i="41"/>
  <c r="I29" i="41"/>
  <c r="H11" i="39"/>
  <c r="I26" i="40"/>
  <c r="I16" i="43"/>
  <c r="I28" i="42"/>
  <c r="H18" i="40"/>
  <c r="G11" i="36"/>
  <c r="H3" i="38"/>
  <c r="H13" i="41"/>
  <c r="I25" i="38"/>
  <c r="H11" i="40"/>
  <c r="H3" i="42"/>
  <c r="H15" i="44"/>
  <c r="G22" i="37"/>
  <c r="I19" i="42"/>
  <c r="G16" i="44"/>
  <c r="H16" i="38"/>
  <c r="I15" i="42"/>
  <c r="M3" i="42"/>
  <c r="I18" i="43"/>
  <c r="G17" i="38"/>
  <c r="G26" i="40"/>
  <c r="H25" i="39"/>
  <c r="I12" i="43"/>
  <c r="I23" i="42"/>
  <c r="H32" i="45"/>
  <c r="I11" i="36"/>
  <c r="I13" i="44"/>
  <c r="H12" i="40"/>
  <c r="I27" i="43"/>
  <c r="H18" i="39"/>
  <c r="H21" i="45"/>
  <c r="I23" i="40"/>
  <c r="G23" i="40"/>
  <c r="H12" i="39"/>
  <c r="I21" i="44"/>
  <c r="H17" i="38"/>
  <c r="H3" i="44"/>
  <c r="G18" i="39"/>
  <c r="I26" i="38"/>
  <c r="I4" i="44"/>
  <c r="M3" i="39"/>
  <c r="G11" i="37"/>
  <c r="I22" i="41"/>
  <c r="I24" i="37"/>
  <c r="H18" i="38"/>
  <c r="I18" i="44"/>
  <c r="I13" i="45"/>
  <c r="H10" i="37"/>
  <c r="H24" i="44"/>
  <c r="G27" i="39"/>
  <c r="I5" i="39"/>
  <c r="I29" i="44"/>
  <c r="G13" i="37"/>
  <c r="I23" i="44"/>
  <c r="H22" i="42"/>
  <c r="H30" i="42"/>
  <c r="G13" i="38"/>
  <c r="G22" i="38"/>
  <c r="I16" i="41"/>
  <c r="G33" i="45"/>
  <c r="G23" i="36"/>
  <c r="H10" i="44"/>
  <c r="I18" i="40"/>
  <c r="I12" i="38"/>
  <c r="I5" i="43"/>
  <c r="H20" i="42"/>
  <c r="I4" i="45"/>
  <c r="G21" i="45"/>
  <c r="G16" i="41"/>
  <c r="H21" i="42"/>
  <c r="I15" i="44"/>
  <c r="M3" i="40"/>
  <c r="I34" i="45"/>
  <c r="I11" i="41"/>
  <c r="H33" i="44"/>
  <c r="G20" i="41"/>
  <c r="G19" i="38"/>
  <c r="H28" i="42"/>
  <c r="I10" i="41"/>
  <c r="G11" i="39"/>
  <c r="G15" i="39"/>
  <c r="I19" i="37"/>
  <c r="I10" i="37"/>
  <c r="I16" i="36"/>
  <c r="H4" i="45"/>
  <c r="G26" i="42"/>
  <c r="H23" i="44"/>
  <c r="I3" i="40"/>
  <c r="I18" i="36"/>
  <c r="H28" i="44"/>
  <c r="G10" i="43"/>
  <c r="G23" i="38"/>
  <c r="I11" i="37"/>
  <c r="G26" i="43"/>
  <c r="H14" i="41"/>
  <c r="I26" i="37"/>
  <c r="H4" i="43"/>
  <c r="H12" i="44"/>
  <c r="H18" i="36"/>
  <c r="G13" i="39"/>
  <c r="I10" i="42"/>
  <c r="I4" i="39"/>
  <c r="N3" i="40" l="1"/>
  <c r="N3" i="39"/>
  <c r="N3" i="42"/>
  <c r="N5" i="41"/>
  <c r="N4" i="43"/>
  <c r="N4" i="45"/>
  <c r="N3" i="36"/>
  <c r="N4" i="44"/>
  <c r="N3" i="44"/>
  <c r="N5" i="36"/>
  <c r="N5" i="45"/>
  <c r="N5" i="37"/>
  <c r="N4" i="40"/>
  <c r="N5" i="38"/>
  <c r="N4" i="41"/>
  <c r="N5" i="43"/>
  <c r="N3" i="41"/>
  <c r="N4" i="36"/>
  <c r="N3" i="43"/>
  <c r="N5" i="42"/>
  <c r="N4" i="38"/>
  <c r="N4" i="39"/>
  <c r="N4" i="42"/>
  <c r="N3" i="45"/>
  <c r="N3" i="37"/>
  <c r="N4" i="37"/>
  <c r="N5" i="44"/>
  <c r="N3" i="38"/>
  <c r="N5" i="40"/>
  <c r="N5" i="39"/>
  <c r="AB32" i="41"/>
  <c r="AG32" i="41"/>
  <c r="Z32" i="41"/>
  <c r="T32" i="41"/>
  <c r="AD32" i="41"/>
  <c r="Q32" i="41"/>
  <c r="V32" i="41"/>
  <c r="O32" i="41"/>
  <c r="U32" i="41"/>
  <c r="AA32" i="41"/>
  <c r="AF32" i="41"/>
  <c r="S32" i="41"/>
  <c r="AE32" i="41"/>
  <c r="Y32" i="41"/>
  <c r="W32" i="41"/>
  <c r="P32" i="41"/>
  <c r="N32" i="41"/>
  <c r="X32" i="41"/>
  <c r="R32" i="41"/>
  <c r="AC32" i="41"/>
  <c r="AH32" i="41"/>
  <c r="R33" i="42"/>
  <c r="N33" i="42"/>
  <c r="AF33" i="42"/>
  <c r="Q33" i="42"/>
  <c r="Y33" i="42"/>
  <c r="W33" i="42"/>
  <c r="S33" i="42"/>
  <c r="AH33" i="42"/>
  <c r="AC33" i="42"/>
  <c r="AI33" i="42"/>
  <c r="AB33" i="42"/>
  <c r="P33" i="42"/>
  <c r="O33" i="42"/>
  <c r="V33" i="42"/>
  <c r="U33" i="42"/>
  <c r="T33" i="42"/>
  <c r="AA33" i="42"/>
  <c r="Z33" i="42"/>
  <c r="AE33" i="42"/>
  <c r="AG33" i="42"/>
  <c r="AD33" i="42"/>
  <c r="X33" i="42"/>
  <c r="Q34" i="43"/>
  <c r="AB34" i="43"/>
  <c r="AA34" i="43"/>
  <c r="O34" i="43"/>
  <c r="AE34" i="43"/>
  <c r="Z34" i="43"/>
  <c r="AJ34" i="43"/>
  <c r="AD34" i="43"/>
  <c r="AG34" i="43"/>
  <c r="W34" i="43"/>
  <c r="AI34" i="43"/>
  <c r="AC34" i="43"/>
  <c r="AF34" i="43"/>
  <c r="T34" i="43"/>
  <c r="N34" i="43"/>
  <c r="Y34" i="43"/>
  <c r="AH34" i="43"/>
  <c r="R34" i="43"/>
  <c r="U34" i="43"/>
  <c r="S34" i="43"/>
  <c r="P34" i="43"/>
  <c r="V34" i="43"/>
  <c r="AK35" i="44"/>
  <c r="Y35" i="44"/>
  <c r="X35" i="44"/>
  <c r="V35" i="44"/>
  <c r="AJ35" i="44"/>
  <c r="AI35" i="44"/>
  <c r="AH35" i="44"/>
  <c r="AG35" i="44"/>
  <c r="U35" i="44"/>
  <c r="T35" i="44"/>
  <c r="O35" i="44"/>
  <c r="AF35" i="44"/>
  <c r="AE35" i="44"/>
  <c r="S35" i="44"/>
  <c r="AC35" i="44"/>
  <c r="Q35" i="44"/>
  <c r="AB35" i="44"/>
  <c r="AD35" i="44"/>
  <c r="R35" i="44"/>
  <c r="P35" i="44"/>
  <c r="AA35" i="44"/>
  <c r="Z35" i="44"/>
  <c r="N35" i="44"/>
  <c r="W35" i="44"/>
  <c r="N10" i="29"/>
  <c r="W19" i="29"/>
  <c r="V19" i="29"/>
  <c r="U19" i="29"/>
  <c r="T19" i="29"/>
  <c r="S19" i="29"/>
  <c r="R19" i="29"/>
  <c r="Q19" i="29"/>
  <c r="P19" i="29"/>
  <c r="O19" i="29"/>
  <c r="W18" i="29"/>
  <c r="V18" i="29"/>
  <c r="U18" i="29"/>
  <c r="T18" i="29"/>
  <c r="S18" i="29"/>
  <c r="R18" i="29"/>
  <c r="Q18" i="29"/>
  <c r="P18" i="29"/>
  <c r="O18" i="29"/>
  <c r="W17" i="29"/>
  <c r="V17" i="29"/>
  <c r="U17" i="29"/>
  <c r="T17" i="29"/>
  <c r="S17" i="29"/>
  <c r="R17" i="29"/>
  <c r="Q17" i="29"/>
  <c r="P17" i="29"/>
  <c r="O17" i="29"/>
  <c r="W16" i="29"/>
  <c r="V16" i="29"/>
  <c r="U16" i="29"/>
  <c r="T16" i="29"/>
  <c r="S16" i="29"/>
  <c r="R16" i="29"/>
  <c r="Q16" i="29"/>
  <c r="P16" i="29"/>
  <c r="O16" i="29"/>
  <c r="W15" i="29"/>
  <c r="V15" i="29"/>
  <c r="U15" i="29"/>
  <c r="T15" i="29"/>
  <c r="S15" i="29"/>
  <c r="R15" i="29"/>
  <c r="Q15" i="29"/>
  <c r="P15" i="29"/>
  <c r="O15" i="29"/>
  <c r="W14" i="29"/>
  <c r="V14" i="29"/>
  <c r="U14" i="29"/>
  <c r="T14" i="29"/>
  <c r="S14" i="29"/>
  <c r="R14" i="29"/>
  <c r="Q14" i="29"/>
  <c r="P14" i="29"/>
  <c r="O14" i="29"/>
  <c r="W13" i="29"/>
  <c r="V13" i="29"/>
  <c r="U13" i="29"/>
  <c r="T13" i="29"/>
  <c r="S13" i="29"/>
  <c r="R13" i="29"/>
  <c r="Q13" i="29"/>
  <c r="P13" i="29"/>
  <c r="O13" i="29"/>
  <c r="W12" i="29"/>
  <c r="V12" i="29"/>
  <c r="U12" i="29"/>
  <c r="T12" i="29"/>
  <c r="S12" i="29"/>
  <c r="R12" i="29"/>
  <c r="Q12" i="29"/>
  <c r="P12" i="29"/>
  <c r="O12" i="29"/>
  <c r="W11" i="29"/>
  <c r="V11" i="29"/>
  <c r="U11" i="29"/>
  <c r="T11" i="29"/>
  <c r="S11" i="29"/>
  <c r="R11" i="29"/>
  <c r="Q11" i="29"/>
  <c r="P11" i="29"/>
  <c r="O11" i="29"/>
  <c r="W10" i="29"/>
  <c r="V10" i="29"/>
  <c r="U10" i="29"/>
  <c r="T10" i="29"/>
  <c r="S10" i="29"/>
  <c r="R10" i="29"/>
  <c r="Q10" i="29"/>
  <c r="P10" i="29"/>
  <c r="O10" i="29"/>
  <c r="N19" i="29"/>
  <c r="N18" i="29"/>
  <c r="N17" i="29"/>
  <c r="N16" i="29"/>
  <c r="N15" i="29"/>
  <c r="N14" i="29"/>
  <c r="N13" i="29"/>
  <c r="N12" i="29"/>
  <c r="N11" i="29"/>
  <c r="I2" i="29"/>
  <c r="W9" i="29"/>
  <c r="V9" i="29"/>
  <c r="U9" i="29"/>
  <c r="T9" i="29"/>
  <c r="S9" i="29"/>
  <c r="R9" i="29"/>
  <c r="Q9" i="29"/>
  <c r="P9" i="29"/>
  <c r="O9" i="29"/>
  <c r="N9" i="29"/>
  <c r="W23" i="29"/>
  <c r="V23" i="29"/>
  <c r="U23" i="29"/>
  <c r="T23" i="29"/>
  <c r="S23" i="29"/>
  <c r="R23" i="29"/>
  <c r="Q23" i="29"/>
  <c r="P23" i="29"/>
  <c r="O23" i="29"/>
  <c r="N23" i="29"/>
  <c r="N20" i="28"/>
  <c r="N10" i="28"/>
  <c r="X20" i="28"/>
  <c r="W20" i="28"/>
  <c r="V20" i="28"/>
  <c r="U20" i="28"/>
  <c r="T20" i="28"/>
  <c r="S20" i="28"/>
  <c r="R20" i="28"/>
  <c r="Q20" i="28"/>
  <c r="P20" i="28"/>
  <c r="O20" i="28"/>
  <c r="X11" i="28"/>
  <c r="W11" i="28"/>
  <c r="W21" i="28" s="1"/>
  <c r="V11" i="28"/>
  <c r="U11" i="28"/>
  <c r="T11" i="28"/>
  <c r="S11" i="28"/>
  <c r="R11" i="28"/>
  <c r="Q11" i="28"/>
  <c r="P11" i="28"/>
  <c r="O11" i="28"/>
  <c r="X10" i="28"/>
  <c r="W10" i="28"/>
  <c r="V10" i="28"/>
  <c r="U10" i="28"/>
  <c r="T10" i="28"/>
  <c r="S10" i="28"/>
  <c r="R10" i="28"/>
  <c r="Q10" i="28"/>
  <c r="Q21" i="28" s="1"/>
  <c r="P10" i="28"/>
  <c r="O10" i="28"/>
  <c r="N11" i="28"/>
  <c r="I2" i="28"/>
  <c r="W9" i="28"/>
  <c r="V9" i="28"/>
  <c r="U9" i="28"/>
  <c r="T9" i="28"/>
  <c r="S9" i="28"/>
  <c r="R9" i="28"/>
  <c r="Q9" i="28"/>
  <c r="P9" i="28"/>
  <c r="O9" i="28"/>
  <c r="N9" i="28"/>
  <c r="W24" i="28"/>
  <c r="V24" i="28"/>
  <c r="U24" i="28"/>
  <c r="T24" i="28"/>
  <c r="S24" i="28"/>
  <c r="R24" i="28"/>
  <c r="Q24" i="28"/>
  <c r="P24" i="28"/>
  <c r="O24" i="28"/>
  <c r="N24" i="28"/>
  <c r="N20" i="27"/>
  <c r="N10" i="27"/>
  <c r="Y21" i="27"/>
  <c r="X21" i="27"/>
  <c r="W21" i="27"/>
  <c r="V21" i="27"/>
  <c r="U21" i="27"/>
  <c r="T21" i="27"/>
  <c r="S21" i="27"/>
  <c r="R21" i="27"/>
  <c r="Q21" i="27"/>
  <c r="P21" i="27"/>
  <c r="O21" i="27"/>
  <c r="Y20" i="27"/>
  <c r="X20" i="27"/>
  <c r="W20" i="27"/>
  <c r="V20" i="27"/>
  <c r="U20" i="27"/>
  <c r="T20" i="27"/>
  <c r="S20" i="27"/>
  <c r="R20" i="27"/>
  <c r="Q20" i="27"/>
  <c r="P20" i="27"/>
  <c r="O20" i="27"/>
  <c r="Y19" i="27"/>
  <c r="X19" i="27"/>
  <c r="W19" i="27"/>
  <c r="V19" i="27"/>
  <c r="U19" i="27"/>
  <c r="T19" i="27"/>
  <c r="S19" i="27"/>
  <c r="R19" i="27"/>
  <c r="Q19" i="27"/>
  <c r="P19" i="27"/>
  <c r="O19" i="27"/>
  <c r="Y18" i="27"/>
  <c r="X18" i="27"/>
  <c r="W18" i="27"/>
  <c r="V18" i="27"/>
  <c r="U18" i="27"/>
  <c r="T18" i="27"/>
  <c r="S18" i="27"/>
  <c r="R18" i="27"/>
  <c r="Q18" i="27"/>
  <c r="P18" i="27"/>
  <c r="O18" i="27"/>
  <c r="Y17" i="27"/>
  <c r="X17" i="27"/>
  <c r="W17" i="27"/>
  <c r="V17" i="27"/>
  <c r="U17" i="27"/>
  <c r="T17" i="27"/>
  <c r="S17" i="27"/>
  <c r="R17" i="27"/>
  <c r="Q17" i="27"/>
  <c r="P17" i="27"/>
  <c r="O17" i="27"/>
  <c r="Y16" i="27"/>
  <c r="X16" i="27"/>
  <c r="W16" i="27"/>
  <c r="V16" i="27"/>
  <c r="U16" i="27"/>
  <c r="T16" i="27"/>
  <c r="S16" i="27"/>
  <c r="R16" i="27"/>
  <c r="Q16" i="27"/>
  <c r="P16" i="27"/>
  <c r="O16" i="27"/>
  <c r="Y15" i="27"/>
  <c r="X15" i="27"/>
  <c r="W15" i="27"/>
  <c r="V15" i="27"/>
  <c r="U15" i="27"/>
  <c r="T15" i="27"/>
  <c r="S15" i="27"/>
  <c r="R15" i="27"/>
  <c r="Q15" i="27"/>
  <c r="P15" i="27"/>
  <c r="O15" i="27"/>
  <c r="Y14" i="27"/>
  <c r="X14" i="27"/>
  <c r="W14" i="27"/>
  <c r="V14" i="27"/>
  <c r="U14" i="27"/>
  <c r="T14" i="27"/>
  <c r="S14" i="27"/>
  <c r="R14" i="27"/>
  <c r="Q14" i="27"/>
  <c r="P14" i="27"/>
  <c r="O14" i="27"/>
  <c r="Y13" i="27"/>
  <c r="X13" i="27"/>
  <c r="W13" i="27"/>
  <c r="V13" i="27"/>
  <c r="U13" i="27"/>
  <c r="T13" i="27"/>
  <c r="S13" i="27"/>
  <c r="R13" i="27"/>
  <c r="Q13" i="27"/>
  <c r="P13" i="27"/>
  <c r="O13" i="27"/>
  <c r="Y12" i="27"/>
  <c r="X12" i="27"/>
  <c r="W12" i="27"/>
  <c r="V12" i="27"/>
  <c r="U12" i="27"/>
  <c r="T12" i="27"/>
  <c r="S12" i="27"/>
  <c r="R12" i="27"/>
  <c r="Q12" i="27"/>
  <c r="P12" i="27"/>
  <c r="O12" i="27"/>
  <c r="Y11" i="27"/>
  <c r="Y22" i="27" s="1"/>
  <c r="X11" i="27"/>
  <c r="W11" i="27"/>
  <c r="V11" i="27"/>
  <c r="U11" i="27"/>
  <c r="T11" i="27"/>
  <c r="S11" i="27"/>
  <c r="R11" i="27"/>
  <c r="Q11" i="27"/>
  <c r="P11" i="27"/>
  <c r="O11" i="27"/>
  <c r="Y10" i="27"/>
  <c r="X10" i="27"/>
  <c r="W10" i="27"/>
  <c r="V10" i="27"/>
  <c r="U10" i="27"/>
  <c r="T10" i="27"/>
  <c r="S10" i="27"/>
  <c r="R10" i="27"/>
  <c r="Q10" i="27"/>
  <c r="P10" i="27"/>
  <c r="O10" i="27"/>
  <c r="N21" i="27"/>
  <c r="N19" i="27"/>
  <c r="N18" i="27"/>
  <c r="N17" i="27"/>
  <c r="N16" i="27"/>
  <c r="N15" i="27"/>
  <c r="N14" i="27"/>
  <c r="N13" i="27"/>
  <c r="N12" i="27"/>
  <c r="N11" i="27"/>
  <c r="I2" i="27"/>
  <c r="W9" i="27"/>
  <c r="V9" i="27"/>
  <c r="U9" i="27"/>
  <c r="T9" i="27"/>
  <c r="S9" i="27"/>
  <c r="R9" i="27"/>
  <c r="Q9" i="27"/>
  <c r="P9" i="27"/>
  <c r="O9" i="27"/>
  <c r="N9" i="27"/>
  <c r="W25" i="27"/>
  <c r="V25" i="27"/>
  <c r="U25" i="27"/>
  <c r="T25" i="27"/>
  <c r="S25" i="27"/>
  <c r="R25" i="27"/>
  <c r="Q25" i="27"/>
  <c r="P25" i="27"/>
  <c r="O25" i="27"/>
  <c r="N25" i="27"/>
  <c r="N10" i="26"/>
  <c r="Z22" i="26"/>
  <c r="Y22" i="26"/>
  <c r="X22" i="26"/>
  <c r="W22" i="26"/>
  <c r="V22" i="26"/>
  <c r="U22" i="26"/>
  <c r="T22" i="26"/>
  <c r="S22" i="26"/>
  <c r="R22" i="26"/>
  <c r="Q22" i="26"/>
  <c r="P22" i="26"/>
  <c r="O22" i="26"/>
  <c r="Z12" i="26"/>
  <c r="Y12" i="26"/>
  <c r="X12" i="26"/>
  <c r="W12" i="26"/>
  <c r="V12" i="26"/>
  <c r="U12" i="26"/>
  <c r="T12" i="26"/>
  <c r="S12" i="26"/>
  <c r="R12" i="26"/>
  <c r="Q12" i="26"/>
  <c r="P12" i="26"/>
  <c r="O12" i="26"/>
  <c r="Z11" i="26"/>
  <c r="Y11" i="26"/>
  <c r="X11" i="26"/>
  <c r="W11" i="26"/>
  <c r="V11" i="26"/>
  <c r="U11" i="26"/>
  <c r="T11" i="26"/>
  <c r="S11" i="26"/>
  <c r="R11" i="26"/>
  <c r="Q11" i="26"/>
  <c r="P11" i="26"/>
  <c r="O11" i="26"/>
  <c r="Z10" i="26"/>
  <c r="Y10" i="26"/>
  <c r="X10" i="26"/>
  <c r="W10" i="26"/>
  <c r="V10" i="26"/>
  <c r="U10" i="26"/>
  <c r="T10" i="26"/>
  <c r="S10" i="26"/>
  <c r="R10" i="26"/>
  <c r="Q10" i="26"/>
  <c r="P10" i="26"/>
  <c r="O10" i="26"/>
  <c r="N22" i="26"/>
  <c r="N12" i="26"/>
  <c r="N11" i="26"/>
  <c r="I2" i="26"/>
  <c r="W9" i="26"/>
  <c r="V9" i="26"/>
  <c r="U9" i="26"/>
  <c r="T9" i="26"/>
  <c r="S9" i="26"/>
  <c r="R9" i="26"/>
  <c r="Q9" i="26"/>
  <c r="P9" i="26"/>
  <c r="O9" i="26"/>
  <c r="N9" i="26"/>
  <c r="W26" i="26"/>
  <c r="V26" i="26"/>
  <c r="U26" i="26"/>
  <c r="T26" i="26"/>
  <c r="S26" i="26"/>
  <c r="R26" i="26"/>
  <c r="Q26" i="26"/>
  <c r="P26" i="26"/>
  <c r="O26" i="26"/>
  <c r="N26" i="26"/>
  <c r="X23" i="26"/>
  <c r="AA23" i="25"/>
  <c r="Z23" i="25"/>
  <c r="Y23" i="25"/>
  <c r="X23" i="25"/>
  <c r="W23" i="25"/>
  <c r="V23" i="25"/>
  <c r="U23" i="25"/>
  <c r="T23" i="25"/>
  <c r="S23" i="25"/>
  <c r="R23" i="25"/>
  <c r="Q23" i="25"/>
  <c r="P23" i="25"/>
  <c r="O23" i="25"/>
  <c r="N23" i="25"/>
  <c r="AA12" i="25"/>
  <c r="Z12" i="25"/>
  <c r="Y12" i="25"/>
  <c r="X12" i="25"/>
  <c r="W12" i="25"/>
  <c r="V12" i="25"/>
  <c r="U12" i="25"/>
  <c r="T12" i="25"/>
  <c r="S12" i="25"/>
  <c r="R12" i="25"/>
  <c r="Q12" i="25"/>
  <c r="P12" i="25"/>
  <c r="O12" i="25"/>
  <c r="N12" i="25"/>
  <c r="AA11" i="25"/>
  <c r="Z11" i="25"/>
  <c r="Y11" i="25"/>
  <c r="X11" i="25"/>
  <c r="W11" i="25"/>
  <c r="V11" i="25"/>
  <c r="U11" i="25"/>
  <c r="T11" i="25"/>
  <c r="S11" i="25"/>
  <c r="R11" i="25"/>
  <c r="Q11" i="25"/>
  <c r="P11" i="25"/>
  <c r="O11" i="25"/>
  <c r="N11" i="25"/>
  <c r="AA10" i="25"/>
  <c r="Z10" i="25"/>
  <c r="Y10" i="25"/>
  <c r="X10" i="25"/>
  <c r="W10" i="25"/>
  <c r="V10" i="25"/>
  <c r="U10" i="25"/>
  <c r="T10" i="25"/>
  <c r="S10" i="25"/>
  <c r="R10" i="25"/>
  <c r="Q10" i="25"/>
  <c r="P10" i="25"/>
  <c r="O10" i="25"/>
  <c r="N10" i="25"/>
  <c r="I2" i="25"/>
  <c r="W9" i="25"/>
  <c r="V9" i="25"/>
  <c r="U9" i="25"/>
  <c r="T9" i="25"/>
  <c r="S9" i="25"/>
  <c r="R9" i="25"/>
  <c r="Q9" i="25"/>
  <c r="P9" i="25"/>
  <c r="O9" i="25"/>
  <c r="N9" i="25"/>
  <c r="W27" i="25"/>
  <c r="V27" i="25"/>
  <c r="U27" i="25"/>
  <c r="T27" i="25"/>
  <c r="S27" i="25"/>
  <c r="R27" i="25"/>
  <c r="Q27" i="25"/>
  <c r="P27" i="25"/>
  <c r="O27" i="25"/>
  <c r="N27" i="25"/>
  <c r="N10" i="24"/>
  <c r="AB11" i="24"/>
  <c r="AA11" i="24"/>
  <c r="Z11" i="24"/>
  <c r="Z25" i="24" s="1"/>
  <c r="Y11" i="24"/>
  <c r="X11" i="24"/>
  <c r="W11" i="24"/>
  <c r="W25" i="24" s="1"/>
  <c r="V11" i="24"/>
  <c r="V25" i="24" s="1"/>
  <c r="U11" i="24"/>
  <c r="T11" i="24"/>
  <c r="S11" i="24"/>
  <c r="R11" i="24"/>
  <c r="R25" i="24" s="1"/>
  <c r="Q11" i="24"/>
  <c r="P11" i="24"/>
  <c r="O11" i="24"/>
  <c r="AB10" i="24"/>
  <c r="AB25" i="24" s="1"/>
  <c r="AA10" i="24"/>
  <c r="Z10" i="24"/>
  <c r="Y10" i="24"/>
  <c r="X10" i="24"/>
  <c r="X25" i="24" s="1"/>
  <c r="W10" i="24"/>
  <c r="V10" i="24"/>
  <c r="U10" i="24"/>
  <c r="T10" i="24"/>
  <c r="T25" i="24" s="1"/>
  <c r="S10" i="24"/>
  <c r="R10" i="24"/>
  <c r="Q10" i="24"/>
  <c r="P10" i="24"/>
  <c r="P25" i="24" s="1"/>
  <c r="O10" i="24"/>
  <c r="N11" i="24"/>
  <c r="I2" i="24"/>
  <c r="W9" i="24"/>
  <c r="V9" i="24"/>
  <c r="U9" i="24"/>
  <c r="T9" i="24"/>
  <c r="S9" i="24"/>
  <c r="R9" i="24"/>
  <c r="Q9" i="24"/>
  <c r="P9" i="24"/>
  <c r="O9" i="24"/>
  <c r="N9" i="24"/>
  <c r="W28" i="24"/>
  <c r="V28" i="24"/>
  <c r="U28" i="24"/>
  <c r="T28" i="24"/>
  <c r="S28" i="24"/>
  <c r="R28" i="24"/>
  <c r="Q28" i="24"/>
  <c r="P28" i="24"/>
  <c r="O28" i="24"/>
  <c r="N28" i="24"/>
  <c r="O25" i="24"/>
  <c r="N10" i="35"/>
  <c r="Q13" i="35"/>
  <c r="P13" i="35"/>
  <c r="O13" i="35"/>
  <c r="Q12" i="35"/>
  <c r="P12" i="35"/>
  <c r="O12" i="35"/>
  <c r="Q11" i="35"/>
  <c r="P11" i="35"/>
  <c r="O11" i="35"/>
  <c r="Q10" i="35"/>
  <c r="P10" i="35"/>
  <c r="O10" i="35"/>
  <c r="N13" i="35"/>
  <c r="N12" i="35"/>
  <c r="N11" i="35"/>
  <c r="I2" i="35"/>
  <c r="Q9" i="35"/>
  <c r="P9" i="35"/>
  <c r="O9" i="35"/>
  <c r="N9" i="35"/>
  <c r="Q17" i="35"/>
  <c r="P17" i="35"/>
  <c r="O17" i="35"/>
  <c r="N17" i="35"/>
  <c r="N10" i="34"/>
  <c r="R14" i="34"/>
  <c r="Q14" i="34"/>
  <c r="P14" i="34"/>
  <c r="O14" i="34"/>
  <c r="R13" i="34"/>
  <c r="Q13" i="34"/>
  <c r="P13" i="34"/>
  <c r="O13" i="34"/>
  <c r="R12" i="34"/>
  <c r="Q12" i="34"/>
  <c r="P12" i="34"/>
  <c r="O12" i="34"/>
  <c r="R11" i="34"/>
  <c r="Q11" i="34"/>
  <c r="P11" i="34"/>
  <c r="O11" i="34"/>
  <c r="R10" i="34"/>
  <c r="Q10" i="34"/>
  <c r="P10" i="34"/>
  <c r="O10" i="34"/>
  <c r="N14" i="34"/>
  <c r="N13" i="34"/>
  <c r="N12" i="34"/>
  <c r="N11" i="34"/>
  <c r="I2" i="34"/>
  <c r="R9" i="34"/>
  <c r="Q9" i="34"/>
  <c r="P9" i="34"/>
  <c r="O9" i="34"/>
  <c r="N9" i="34"/>
  <c r="R18" i="34"/>
  <c r="Q18" i="34"/>
  <c r="P18" i="34"/>
  <c r="O18" i="34"/>
  <c r="N18" i="34"/>
  <c r="N10" i="33"/>
  <c r="S15" i="33"/>
  <c r="R15" i="33"/>
  <c r="Q15" i="33"/>
  <c r="P15" i="33"/>
  <c r="O15" i="33"/>
  <c r="S14" i="33"/>
  <c r="R14" i="33"/>
  <c r="Q14" i="33"/>
  <c r="P14" i="33"/>
  <c r="O14" i="33"/>
  <c r="S13" i="33"/>
  <c r="R13" i="33"/>
  <c r="Q13" i="33"/>
  <c r="P13" i="33"/>
  <c r="O13" i="33"/>
  <c r="S12" i="33"/>
  <c r="R12" i="33"/>
  <c r="Q12" i="33"/>
  <c r="P12" i="33"/>
  <c r="O12" i="33"/>
  <c r="S11" i="33"/>
  <c r="R11" i="33"/>
  <c r="Q11" i="33"/>
  <c r="P11" i="33"/>
  <c r="O11" i="33"/>
  <c r="S10" i="33"/>
  <c r="R10" i="33"/>
  <c r="Q10" i="33"/>
  <c r="P10" i="33"/>
  <c r="O10" i="33"/>
  <c r="N15" i="33"/>
  <c r="N14" i="33"/>
  <c r="N13" i="33"/>
  <c r="N12" i="33"/>
  <c r="N11" i="33"/>
  <c r="I2" i="33"/>
  <c r="S9" i="33"/>
  <c r="R9" i="33"/>
  <c r="Q9" i="33"/>
  <c r="P9" i="33"/>
  <c r="O9" i="33"/>
  <c r="N9" i="33"/>
  <c r="S19" i="33"/>
  <c r="R19" i="33"/>
  <c r="Q19" i="33"/>
  <c r="P19" i="33"/>
  <c r="O19" i="33"/>
  <c r="N19" i="33"/>
  <c r="N10" i="32"/>
  <c r="T16" i="32"/>
  <c r="S16" i="32"/>
  <c r="R16" i="32"/>
  <c r="Q16" i="32"/>
  <c r="P16" i="32"/>
  <c r="O16" i="32"/>
  <c r="T15" i="32"/>
  <c r="S15" i="32"/>
  <c r="R15" i="32"/>
  <c r="Q15" i="32"/>
  <c r="P15" i="32"/>
  <c r="O15" i="32"/>
  <c r="T14" i="32"/>
  <c r="S14" i="32"/>
  <c r="R14" i="32"/>
  <c r="Q14" i="32"/>
  <c r="P14" i="32"/>
  <c r="O14" i="32"/>
  <c r="T13" i="32"/>
  <c r="S13" i="32"/>
  <c r="R13" i="32"/>
  <c r="Q13" i="32"/>
  <c r="P13" i="32"/>
  <c r="O13" i="32"/>
  <c r="T12" i="32"/>
  <c r="S12" i="32"/>
  <c r="R12" i="32"/>
  <c r="Q12" i="32"/>
  <c r="P12" i="32"/>
  <c r="O12" i="32"/>
  <c r="T11" i="32"/>
  <c r="S11" i="32"/>
  <c r="R11" i="32"/>
  <c r="Q11" i="32"/>
  <c r="P11" i="32"/>
  <c r="O11" i="32"/>
  <c r="O17" i="32" s="1"/>
  <c r="T10" i="32"/>
  <c r="T17" i="32" s="1"/>
  <c r="S10" i="32"/>
  <c r="R10" i="32"/>
  <c r="Q10" i="32"/>
  <c r="P10" i="32"/>
  <c r="O10" i="32"/>
  <c r="N16" i="32"/>
  <c r="N15" i="32"/>
  <c r="N14" i="32"/>
  <c r="N13" i="32"/>
  <c r="N12" i="32"/>
  <c r="N11" i="32"/>
  <c r="I2" i="32"/>
  <c r="T9" i="32"/>
  <c r="S9" i="32"/>
  <c r="R9" i="32"/>
  <c r="Q9" i="32"/>
  <c r="P9" i="32"/>
  <c r="O9" i="32"/>
  <c r="N9" i="32"/>
  <c r="T20" i="32"/>
  <c r="S20" i="32"/>
  <c r="R20" i="32"/>
  <c r="Q20" i="32"/>
  <c r="P20" i="32"/>
  <c r="O20" i="32"/>
  <c r="N20" i="32"/>
  <c r="N10" i="31"/>
  <c r="U17" i="31"/>
  <c r="T17" i="31"/>
  <c r="S17" i="31"/>
  <c r="R17" i="31"/>
  <c r="Q17" i="31"/>
  <c r="P17" i="31"/>
  <c r="O17" i="31"/>
  <c r="U16" i="31"/>
  <c r="T16" i="31"/>
  <c r="S16" i="31"/>
  <c r="R16" i="31"/>
  <c r="Q16" i="31"/>
  <c r="P16" i="31"/>
  <c r="O16" i="31"/>
  <c r="U15" i="31"/>
  <c r="T15" i="31"/>
  <c r="S15" i="31"/>
  <c r="R15" i="31"/>
  <c r="Q15" i="31"/>
  <c r="P15" i="31"/>
  <c r="O15" i="31"/>
  <c r="U14" i="31"/>
  <c r="T14" i="31"/>
  <c r="S14" i="31"/>
  <c r="R14" i="31"/>
  <c r="Q14" i="31"/>
  <c r="P14" i="31"/>
  <c r="O14" i="31"/>
  <c r="U13" i="31"/>
  <c r="T13" i="31"/>
  <c r="S13" i="31"/>
  <c r="R13" i="31"/>
  <c r="Q13" i="31"/>
  <c r="P13" i="31"/>
  <c r="O13" i="31"/>
  <c r="U12" i="31"/>
  <c r="T12" i="31"/>
  <c r="S12" i="31"/>
  <c r="R12" i="31"/>
  <c r="Q12" i="31"/>
  <c r="P12" i="31"/>
  <c r="O12" i="31"/>
  <c r="U11" i="31"/>
  <c r="T11" i="31"/>
  <c r="S11" i="31"/>
  <c r="R11" i="31"/>
  <c r="Q11" i="31"/>
  <c r="P11" i="31"/>
  <c r="O11" i="31"/>
  <c r="U10" i="31"/>
  <c r="T10" i="31"/>
  <c r="S10" i="31"/>
  <c r="R10" i="31"/>
  <c r="Q10" i="31"/>
  <c r="P10" i="31"/>
  <c r="O10" i="31"/>
  <c r="N17" i="31"/>
  <c r="N16" i="31"/>
  <c r="N15" i="31"/>
  <c r="N14" i="31"/>
  <c r="N13" i="31"/>
  <c r="N12" i="31"/>
  <c r="N11" i="31"/>
  <c r="I2" i="31"/>
  <c r="U9" i="31"/>
  <c r="T9" i="31"/>
  <c r="S9" i="31"/>
  <c r="R9" i="31"/>
  <c r="Q9" i="31"/>
  <c r="P9" i="31"/>
  <c r="O9" i="31"/>
  <c r="N9" i="31"/>
  <c r="U21" i="31"/>
  <c r="T21" i="31"/>
  <c r="S21" i="31"/>
  <c r="R21" i="31"/>
  <c r="Q21" i="31"/>
  <c r="P21" i="31"/>
  <c r="O21" i="31"/>
  <c r="N21" i="31"/>
  <c r="N10" i="30"/>
  <c r="V18" i="30"/>
  <c r="U18" i="30"/>
  <c r="T18" i="30"/>
  <c r="S18" i="30"/>
  <c r="R18" i="30"/>
  <c r="Q18" i="30"/>
  <c r="P18" i="30"/>
  <c r="O18" i="30"/>
  <c r="V17" i="30"/>
  <c r="U17" i="30"/>
  <c r="T17" i="30"/>
  <c r="S17" i="30"/>
  <c r="R17" i="30"/>
  <c r="Q17" i="30"/>
  <c r="P17" i="30"/>
  <c r="O17" i="30"/>
  <c r="V16" i="30"/>
  <c r="U16" i="30"/>
  <c r="T16" i="30"/>
  <c r="S16" i="30"/>
  <c r="R16" i="30"/>
  <c r="Q16" i="30"/>
  <c r="P16" i="30"/>
  <c r="O16" i="30"/>
  <c r="V15" i="30"/>
  <c r="U15" i="30"/>
  <c r="T15" i="30"/>
  <c r="S15" i="30"/>
  <c r="R15" i="30"/>
  <c r="Q15" i="30"/>
  <c r="P15" i="30"/>
  <c r="O15" i="30"/>
  <c r="V14" i="30"/>
  <c r="U14" i="30"/>
  <c r="T14" i="30"/>
  <c r="S14" i="30"/>
  <c r="R14" i="30"/>
  <c r="Q14" i="30"/>
  <c r="P14" i="30"/>
  <c r="O14" i="30"/>
  <c r="V13" i="30"/>
  <c r="U13" i="30"/>
  <c r="T13" i="30"/>
  <c r="S13" i="30"/>
  <c r="R13" i="30"/>
  <c r="Q13" i="30"/>
  <c r="P13" i="30"/>
  <c r="O13" i="30"/>
  <c r="V12" i="30"/>
  <c r="U12" i="30"/>
  <c r="T12" i="30"/>
  <c r="S12" i="30"/>
  <c r="R12" i="30"/>
  <c r="Q12" i="30"/>
  <c r="P12" i="30"/>
  <c r="O12" i="30"/>
  <c r="V11" i="30"/>
  <c r="U11" i="30"/>
  <c r="T11" i="30"/>
  <c r="S11" i="30"/>
  <c r="R11" i="30"/>
  <c r="Q11" i="30"/>
  <c r="P11" i="30"/>
  <c r="O11" i="30"/>
  <c r="V10" i="30"/>
  <c r="U10" i="30"/>
  <c r="T10" i="30"/>
  <c r="S10" i="30"/>
  <c r="R10" i="30"/>
  <c r="Q10" i="30"/>
  <c r="P10" i="30"/>
  <c r="O10" i="30"/>
  <c r="N18" i="30"/>
  <c r="N17" i="30"/>
  <c r="N16" i="30"/>
  <c r="N15" i="30"/>
  <c r="N14" i="30"/>
  <c r="N13" i="30"/>
  <c r="N12" i="30"/>
  <c r="N11" i="30"/>
  <c r="I2" i="30"/>
  <c r="V9" i="30"/>
  <c r="U9" i="30"/>
  <c r="T9" i="30"/>
  <c r="S9" i="30"/>
  <c r="R9" i="30"/>
  <c r="Q9" i="30"/>
  <c r="P9" i="30"/>
  <c r="O9" i="30"/>
  <c r="N9" i="30"/>
  <c r="V22" i="30"/>
  <c r="U22" i="30"/>
  <c r="T22" i="30"/>
  <c r="S22" i="30"/>
  <c r="R22" i="30"/>
  <c r="Q22" i="30"/>
  <c r="P22" i="30"/>
  <c r="O22" i="30"/>
  <c r="N22" i="30"/>
  <c r="Z23" i="26" l="1"/>
  <c r="Q23" i="26"/>
  <c r="Q15" i="34"/>
  <c r="U23" i="26"/>
  <c r="R15" i="34"/>
  <c r="R18" i="31"/>
  <c r="S24" i="25"/>
  <c r="O22" i="27"/>
  <c r="Y23" i="26"/>
  <c r="S22" i="27"/>
  <c r="U21" i="28"/>
  <c r="O15" i="34"/>
  <c r="O24" i="25"/>
  <c r="AA24" i="25"/>
  <c r="P15" i="34"/>
  <c r="W22" i="27"/>
  <c r="S19" i="30"/>
  <c r="Q19" i="30"/>
  <c r="U19" i="30"/>
  <c r="V19" i="30"/>
  <c r="R19" i="30"/>
  <c r="P19" i="30"/>
  <c r="T19" i="30"/>
  <c r="Q18" i="31"/>
  <c r="O19" i="30"/>
  <c r="R22" i="27"/>
  <c r="V22" i="27"/>
  <c r="O18" i="31"/>
  <c r="S18" i="31"/>
  <c r="P18" i="31"/>
  <c r="T18" i="31"/>
  <c r="U18" i="31"/>
  <c r="N16" i="33"/>
  <c r="O16" i="33"/>
  <c r="S16" i="33"/>
  <c r="R16" i="33"/>
  <c r="AA25" i="24"/>
  <c r="P20" i="29"/>
  <c r="T20" i="29"/>
  <c r="U20" i="29"/>
  <c r="O20" i="29"/>
  <c r="S20" i="29"/>
  <c r="W20" i="29"/>
  <c r="R20" i="29"/>
  <c r="V20" i="29"/>
  <c r="Q20" i="29"/>
  <c r="W24" i="25"/>
  <c r="S17" i="32"/>
  <c r="N22" i="27"/>
  <c r="N18" i="31"/>
  <c r="Q14" i="35"/>
  <c r="Q22" i="27"/>
  <c r="P23" i="26"/>
  <c r="T23" i="26"/>
  <c r="P16" i="33"/>
  <c r="N14" i="35"/>
  <c r="Q17" i="32"/>
  <c r="Q25" i="24"/>
  <c r="U25" i="24"/>
  <c r="Y25" i="24"/>
  <c r="S25" i="24"/>
  <c r="Q24" i="25"/>
  <c r="U24" i="25"/>
  <c r="Y24" i="25"/>
  <c r="U22" i="27"/>
  <c r="P17" i="32"/>
  <c r="R17" i="32"/>
  <c r="P24" i="25"/>
  <c r="T24" i="25"/>
  <c r="X24" i="25"/>
  <c r="N24" i="25"/>
  <c r="R24" i="25"/>
  <c r="V24" i="25"/>
  <c r="Z24" i="25"/>
  <c r="S21" i="28"/>
  <c r="O21" i="28"/>
  <c r="R21" i="28"/>
  <c r="V21" i="28"/>
  <c r="P21" i="28"/>
  <c r="T21" i="28"/>
  <c r="X21" i="28"/>
  <c r="W23" i="26"/>
  <c r="S23" i="26"/>
  <c r="O23" i="26"/>
  <c r="V23" i="26"/>
  <c r="R23" i="26"/>
  <c r="N17" i="32"/>
  <c r="Q16" i="33"/>
  <c r="N15" i="34"/>
  <c r="N25" i="24"/>
  <c r="N23" i="26"/>
  <c r="N21" i="28"/>
  <c r="N19" i="30"/>
  <c r="O14" i="35"/>
  <c r="P14" i="35"/>
  <c r="P22" i="27"/>
  <c r="T22" i="27"/>
  <c r="X22" i="27"/>
  <c r="N20" i="29"/>
  <c r="H13" i="33"/>
  <c r="G10" i="32"/>
  <c r="G19" i="26"/>
  <c r="I11" i="27"/>
  <c r="M3" i="27"/>
  <c r="H4" i="32"/>
  <c r="I10" i="26"/>
  <c r="I4" i="28"/>
  <c r="I5" i="26"/>
  <c r="I17" i="30"/>
  <c r="H16" i="32"/>
  <c r="I3" i="32"/>
  <c r="G16" i="27"/>
  <c r="I14" i="26"/>
  <c r="G21" i="24"/>
  <c r="G18" i="27"/>
  <c r="I21" i="25"/>
  <c r="I12" i="25"/>
  <c r="G18" i="28"/>
  <c r="G13" i="33"/>
  <c r="M4" i="24"/>
  <c r="I18" i="30"/>
  <c r="I5" i="31"/>
  <c r="H4" i="25"/>
  <c r="G12" i="30"/>
  <c r="H22" i="25"/>
  <c r="H3" i="35"/>
  <c r="I5" i="25"/>
  <c r="I15" i="33"/>
  <c r="G20" i="26"/>
  <c r="H24" i="24"/>
  <c r="I14" i="25"/>
  <c r="H11" i="33"/>
  <c r="I4" i="25"/>
  <c r="G10" i="30"/>
  <c r="I12" i="31"/>
  <c r="H23" i="25"/>
  <c r="I14" i="32"/>
  <c r="H11" i="25"/>
  <c r="H3" i="31"/>
  <c r="I13" i="32"/>
  <c r="H3" i="26"/>
  <c r="I16" i="24"/>
  <c r="G15" i="28"/>
  <c r="H17" i="30"/>
  <c r="G17" i="24"/>
  <c r="H13" i="26"/>
  <c r="I5" i="30"/>
  <c r="H11" i="35"/>
  <c r="I19" i="28"/>
  <c r="H14" i="26"/>
  <c r="I14" i="34"/>
  <c r="M4" i="30"/>
  <c r="H12" i="31"/>
  <c r="H17" i="25"/>
  <c r="M3" i="28"/>
  <c r="I3" i="35"/>
  <c r="G21" i="27"/>
  <c r="G14" i="29"/>
  <c r="I15" i="29"/>
  <c r="I10" i="24"/>
  <c r="H10" i="27"/>
  <c r="I12" i="34"/>
  <c r="I13" i="33"/>
  <c r="M3" i="31"/>
  <c r="H3" i="30"/>
  <c r="H15" i="25"/>
  <c r="M5" i="24"/>
  <c r="H11" i="30"/>
  <c r="I16" i="26"/>
  <c r="G12" i="35"/>
  <c r="H13" i="35"/>
  <c r="H20" i="26"/>
  <c r="M3" i="29"/>
  <c r="H5" i="24"/>
  <c r="I20" i="25"/>
  <c r="M3" i="30"/>
  <c r="H11" i="27"/>
  <c r="H21" i="25"/>
  <c r="I21" i="26"/>
  <c r="G17" i="31"/>
  <c r="G11" i="26"/>
  <c r="H11" i="29"/>
  <c r="G13" i="24"/>
  <c r="I17" i="31"/>
  <c r="G11" i="30"/>
  <c r="H13" i="27"/>
  <c r="H18" i="28"/>
  <c r="G11" i="33"/>
  <c r="G10" i="35"/>
  <c r="I18" i="29"/>
  <c r="H11" i="34"/>
  <c r="G11" i="27"/>
  <c r="I16" i="29"/>
  <c r="I15" i="28"/>
  <c r="I11" i="28"/>
  <c r="H14" i="34"/>
  <c r="M5" i="25"/>
  <c r="H13" i="31"/>
  <c r="H16" i="26"/>
  <c r="H15" i="28"/>
  <c r="H18" i="29"/>
  <c r="G19" i="28"/>
  <c r="I19" i="24"/>
  <c r="G20" i="25"/>
  <c r="G19" i="29"/>
  <c r="H17" i="28"/>
  <c r="I10" i="35"/>
  <c r="H18" i="27"/>
  <c r="M4" i="26"/>
  <c r="I3" i="28"/>
  <c r="I4" i="26"/>
  <c r="I4" i="27"/>
  <c r="M4" i="31"/>
  <c r="I3" i="26"/>
  <c r="H13" i="25"/>
  <c r="H11" i="28"/>
  <c r="I10" i="29"/>
  <c r="H18" i="24"/>
  <c r="M3" i="35"/>
  <c r="H16" i="29"/>
  <c r="I14" i="24"/>
  <c r="I17" i="24"/>
  <c r="H4" i="31"/>
  <c r="I21" i="27"/>
  <c r="G14" i="24"/>
  <c r="M4" i="25"/>
  <c r="I19" i="27"/>
  <c r="G13" i="35"/>
  <c r="G11" i="34"/>
  <c r="H15" i="30"/>
  <c r="I10" i="28"/>
  <c r="H10" i="26"/>
  <c r="I3" i="30"/>
  <c r="H21" i="26"/>
  <c r="I5" i="27"/>
  <c r="G15" i="32"/>
  <c r="I14" i="27"/>
  <c r="H11" i="31"/>
  <c r="I3" i="25"/>
  <c r="M5" i="27"/>
  <c r="G18" i="29"/>
  <c r="G18" i="30"/>
  <c r="G15" i="24"/>
  <c r="H3" i="34"/>
  <c r="H21" i="27"/>
  <c r="H20" i="27"/>
  <c r="G13" i="25"/>
  <c r="I12" i="30"/>
  <c r="G17" i="25"/>
  <c r="I15" i="32"/>
  <c r="I4" i="29"/>
  <c r="G23" i="25"/>
  <c r="G16" i="25"/>
  <c r="I14" i="30"/>
  <c r="H12" i="25"/>
  <c r="H10" i="32"/>
  <c r="G13" i="26"/>
  <c r="H3" i="33"/>
  <c r="H15" i="33"/>
  <c r="M5" i="26"/>
  <c r="G13" i="29"/>
  <c r="H14" i="33"/>
  <c r="G13" i="31"/>
  <c r="H16" i="30"/>
  <c r="I17" i="28"/>
  <c r="H20" i="24"/>
  <c r="G21" i="26"/>
  <c r="I17" i="29"/>
  <c r="H12" i="27"/>
  <c r="G10" i="27"/>
  <c r="H12" i="34"/>
  <c r="I11" i="35"/>
  <c r="M3" i="32"/>
  <c r="G12" i="28"/>
  <c r="H15" i="24"/>
  <c r="G10" i="33"/>
  <c r="I11" i="30"/>
  <c r="I3" i="24"/>
  <c r="I16" i="32"/>
  <c r="I5" i="29"/>
  <c r="M5" i="35"/>
  <c r="I20" i="27"/>
  <c r="I5" i="28"/>
  <c r="H21" i="24"/>
  <c r="G10" i="24"/>
  <c r="G11" i="28"/>
  <c r="I12" i="24"/>
  <c r="I5" i="34"/>
  <c r="H17" i="31"/>
  <c r="H5" i="26"/>
  <c r="H14" i="31"/>
  <c r="G13" i="27"/>
  <c r="H17" i="29"/>
  <c r="H18" i="26"/>
  <c r="I12" i="29"/>
  <c r="G19" i="24"/>
  <c r="H11" i="32"/>
  <c r="M3" i="26"/>
  <c r="H17" i="26"/>
  <c r="I10" i="30"/>
  <c r="G16" i="31"/>
  <c r="M4" i="28"/>
  <c r="H14" i="25"/>
  <c r="H14" i="28"/>
  <c r="H10" i="33"/>
  <c r="G10" i="31"/>
  <c r="G17" i="26"/>
  <c r="I13" i="26"/>
  <c r="G17" i="29"/>
  <c r="H22" i="26"/>
  <c r="I11" i="33"/>
  <c r="I5" i="24"/>
  <c r="I4" i="32"/>
  <c r="H10" i="35"/>
  <c r="H4" i="27"/>
  <c r="G11" i="32"/>
  <c r="H3" i="24"/>
  <c r="H18" i="25"/>
  <c r="G12" i="33"/>
  <c r="H13" i="28"/>
  <c r="G19" i="27"/>
  <c r="H10" i="28"/>
  <c r="G16" i="29"/>
  <c r="H5" i="31"/>
  <c r="I12" i="26"/>
  <c r="G12" i="27"/>
  <c r="I20" i="26"/>
  <c r="G18" i="24"/>
  <c r="H4" i="24"/>
  <c r="H5" i="30"/>
  <c r="G14" i="32"/>
  <c r="M3" i="25"/>
  <c r="H4" i="28"/>
  <c r="I3" i="34"/>
  <c r="I24" i="24"/>
  <c r="I14" i="31"/>
  <c r="I18" i="25"/>
  <c r="I4" i="31"/>
  <c r="I5" i="33"/>
  <c r="I13" i="35"/>
  <c r="G15" i="25"/>
  <c r="G10" i="25"/>
  <c r="I12" i="35"/>
  <c r="H11" i="24"/>
  <c r="H19" i="29"/>
  <c r="I23" i="24"/>
  <c r="H20" i="25"/>
  <c r="G18" i="25"/>
  <c r="I11" i="32"/>
  <c r="I13" i="29"/>
  <c r="G13" i="32"/>
  <c r="I4" i="34"/>
  <c r="G14" i="34"/>
  <c r="H4" i="33"/>
  <c r="H13" i="30"/>
  <c r="I11" i="31"/>
  <c r="I18" i="27"/>
  <c r="I14" i="29"/>
  <c r="M4" i="34"/>
  <c r="G14" i="25"/>
  <c r="M5" i="29"/>
  <c r="H19" i="27"/>
  <c r="I16" i="30"/>
  <c r="G17" i="27"/>
  <c r="H13" i="34"/>
  <c r="I12" i="28"/>
  <c r="I5" i="35"/>
  <c r="I3" i="33"/>
  <c r="G13" i="30"/>
  <c r="H14" i="30"/>
  <c r="I16" i="25"/>
  <c r="G10" i="34"/>
  <c r="H12" i="28"/>
  <c r="M5" i="33"/>
  <c r="G21" i="25"/>
  <c r="G15" i="33"/>
  <c r="M4" i="35"/>
  <c r="I13" i="34"/>
  <c r="I13" i="27"/>
  <c r="G10" i="28"/>
  <c r="H12" i="32"/>
  <c r="I19" i="29"/>
  <c r="H15" i="27"/>
  <c r="H14" i="32"/>
  <c r="G24" i="24"/>
  <c r="H16" i="24"/>
  <c r="I14" i="33"/>
  <c r="I10" i="32"/>
  <c r="G12" i="29"/>
  <c r="H5" i="32"/>
  <c r="G15" i="30"/>
  <c r="M4" i="29"/>
  <c r="M4" i="27"/>
  <c r="I15" i="25"/>
  <c r="H12" i="29"/>
  <c r="I15" i="26"/>
  <c r="H5" i="25"/>
  <c r="M4" i="32"/>
  <c r="I17" i="27"/>
  <c r="I11" i="25"/>
  <c r="H5" i="28"/>
  <c r="H3" i="28"/>
  <c r="I17" i="26"/>
  <c r="I4" i="35"/>
  <c r="G12" i="31"/>
  <c r="G15" i="27"/>
  <c r="I18" i="26"/>
  <c r="G13" i="34"/>
  <c r="I11" i="26"/>
  <c r="I20" i="28"/>
  <c r="I21" i="24"/>
  <c r="I17" i="25"/>
  <c r="M5" i="30"/>
  <c r="G12" i="25"/>
  <c r="H13" i="32"/>
  <c r="H3" i="25"/>
  <c r="I13" i="25"/>
  <c r="M3" i="34"/>
  <c r="I11" i="24"/>
  <c r="H5" i="29"/>
  <c r="G17" i="30"/>
  <c r="G14" i="27"/>
  <c r="G12" i="26"/>
  <c r="G12" i="24"/>
  <c r="H22" i="24"/>
  <c r="H14" i="24"/>
  <c r="M3" i="33"/>
  <c r="H10" i="34"/>
  <c r="G15" i="29"/>
  <c r="I3" i="31"/>
  <c r="H10" i="30"/>
  <c r="G14" i="28"/>
  <c r="I3" i="27"/>
  <c r="H10" i="29"/>
  <c r="H19" i="28"/>
  <c r="H16" i="25"/>
  <c r="I10" i="27"/>
  <c r="H19" i="26"/>
  <c r="I22" i="24"/>
  <c r="G14" i="30"/>
  <c r="G20" i="28"/>
  <c r="H10" i="31"/>
  <c r="I5" i="32"/>
  <c r="G19" i="25"/>
  <c r="H17" i="24"/>
  <c r="G20" i="24"/>
  <c r="G13" i="28"/>
  <c r="I19" i="25"/>
  <c r="G11" i="24"/>
  <c r="G10" i="29"/>
  <c r="H16" i="31"/>
  <c r="H14" i="27"/>
  <c r="H12" i="35"/>
  <c r="G20" i="27"/>
  <c r="G14" i="33"/>
  <c r="G16" i="32"/>
  <c r="H15" i="31"/>
  <c r="H11" i="26"/>
  <c r="H3" i="32"/>
  <c r="I16" i="31"/>
  <c r="I10" i="25"/>
  <c r="I15" i="27"/>
  <c r="H5" i="33"/>
  <c r="H14" i="29"/>
  <c r="I22" i="26"/>
  <c r="H4" i="34"/>
  <c r="I10" i="31"/>
  <c r="H16" i="28"/>
  <c r="I4" i="33"/>
  <c r="G12" i="34"/>
  <c r="I16" i="28"/>
  <c r="H15" i="29"/>
  <c r="M5" i="32"/>
  <c r="I11" i="34"/>
  <c r="I22" i="25"/>
  <c r="H10" i="25"/>
  <c r="H4" i="35"/>
  <c r="I12" i="33"/>
  <c r="H15" i="32"/>
  <c r="I10" i="33"/>
  <c r="I4" i="24"/>
  <c r="H5" i="34"/>
  <c r="I14" i="28"/>
  <c r="G22" i="26"/>
  <c r="G16" i="30"/>
  <c r="H12" i="30"/>
  <c r="H19" i="24"/>
  <c r="G12" i="32"/>
  <c r="I15" i="24"/>
  <c r="G16" i="24"/>
  <c r="M4" i="33"/>
  <c r="H3" i="27"/>
  <c r="I11" i="29"/>
  <c r="H13" i="24"/>
  <c r="H10" i="24"/>
  <c r="M5" i="31"/>
  <c r="I12" i="27"/>
  <c r="H3" i="29"/>
  <c r="H4" i="26"/>
  <c r="G11" i="25"/>
  <c r="G15" i="26"/>
  <c r="I15" i="31"/>
  <c r="G11" i="31"/>
  <c r="H20" i="28"/>
  <c r="G11" i="29"/>
  <c r="I19" i="26"/>
  <c r="H18" i="30"/>
  <c r="H5" i="27"/>
  <c r="G14" i="31"/>
  <c r="G22" i="25"/>
  <c r="G15" i="31"/>
  <c r="H12" i="24"/>
  <c r="H12" i="26"/>
  <c r="I13" i="24"/>
  <c r="I18" i="24"/>
  <c r="I13" i="30"/>
  <c r="G22" i="24"/>
  <c r="H13" i="29"/>
  <c r="M5" i="34"/>
  <c r="I13" i="28"/>
  <c r="I23" i="25"/>
  <c r="H12" i="33"/>
  <c r="H15" i="26"/>
  <c r="M5" i="28"/>
  <c r="I16" i="27"/>
  <c r="H4" i="29"/>
  <c r="I20" i="24"/>
  <c r="G16" i="26"/>
  <c r="H23" i="24"/>
  <c r="H17" i="27"/>
  <c r="I4" i="30"/>
  <c r="G10" i="26"/>
  <c r="I10" i="34"/>
  <c r="I15" i="30"/>
  <c r="I18" i="28"/>
  <c r="M3" i="24"/>
  <c r="I12" i="32"/>
  <c r="I3" i="29"/>
  <c r="G18" i="26"/>
  <c r="H4" i="30"/>
  <c r="G17" i="28"/>
  <c r="H19" i="25"/>
  <c r="G14" i="26"/>
  <c r="I13" i="31"/>
  <c r="H5" i="35"/>
  <c r="G16" i="28"/>
  <c r="G11" i="35"/>
  <c r="G23" i="24"/>
  <c r="H16" i="27"/>
  <c r="Y24" i="26" l="1"/>
  <c r="X24" i="26"/>
  <c r="O24" i="26"/>
  <c r="V24" i="26"/>
  <c r="W24" i="26"/>
  <c r="T24" i="26"/>
  <c r="U24" i="26"/>
  <c r="R24" i="26"/>
  <c r="S24" i="26"/>
  <c r="P24" i="26"/>
  <c r="N24" i="26"/>
  <c r="Q24" i="26"/>
  <c r="Z24" i="26"/>
  <c r="N3" i="32"/>
  <c r="N4" i="31"/>
  <c r="N5" i="25"/>
  <c r="N3" i="26"/>
  <c r="N3" i="35"/>
  <c r="N4" i="30"/>
  <c r="N4" i="24"/>
  <c r="N4" i="27"/>
  <c r="N4" i="28"/>
  <c r="N5" i="34"/>
  <c r="N3" i="31"/>
  <c r="N4" i="35"/>
  <c r="N5" i="27"/>
  <c r="N4" i="32"/>
  <c r="N3" i="29"/>
  <c r="N5" i="33"/>
  <c r="N5" i="24"/>
  <c r="N4" i="34"/>
  <c r="N3" i="27"/>
  <c r="N5" i="26"/>
  <c r="N4" i="29"/>
  <c r="N5" i="31"/>
  <c r="N3" i="33"/>
  <c r="N3" i="25"/>
  <c r="N4" i="25"/>
  <c r="N3" i="28"/>
  <c r="N5" i="35"/>
  <c r="N5" i="28"/>
  <c r="N3" i="24"/>
  <c r="N3" i="34"/>
  <c r="N3" i="30"/>
  <c r="N4" i="26"/>
  <c r="N5" i="32"/>
  <c r="N5" i="29"/>
  <c r="N5" i="30"/>
  <c r="N4" i="33"/>
</calcChain>
</file>

<file path=xl/sharedStrings.xml><?xml version="1.0" encoding="utf-8"?>
<sst xmlns="http://schemas.openxmlformats.org/spreadsheetml/2006/main" count="536" uniqueCount="70">
  <si>
    <t>Lane 1</t>
  </si>
  <si>
    <t>Lane 2</t>
  </si>
  <si>
    <t>Heat</t>
  </si>
  <si>
    <t>Car</t>
  </si>
  <si>
    <t>Car's Scores :</t>
  </si>
  <si>
    <t>Finish Place :</t>
  </si>
  <si>
    <t>Lane 3</t>
  </si>
  <si>
    <t>Name</t>
  </si>
  <si>
    <t>Finish</t>
  </si>
  <si>
    <t>= 1st (3pts)</t>
  </si>
  <si>
    <t>= 2nd (2pts)</t>
  </si>
  <si>
    <t>= 3rd (1pt)</t>
  </si>
  <si>
    <t>Legend</t>
  </si>
  <si>
    <t>Points</t>
  </si>
  <si>
    <t>How to use the scoring spreadsheet</t>
  </si>
  <si>
    <t>A car's score is calculated on the right hand side of the spreadsheet.  3 points for a first place finish, 2 points for a 2nd place finish, and 1 point for a 3rd place finish.  This always causes confusion so you may want to explain this before the race.</t>
  </si>
  <si>
    <t>After all heats have been run, the car with the highest score wins.  Manually enter the overall finish for each car at the bottom of the scoring columns, and determine if any runoffs are necessary.</t>
  </si>
  <si>
    <t>Be sure to save this file at the end of the race.</t>
  </si>
  <si>
    <t>Notes and tips for having a successful derby</t>
  </si>
  <si>
    <t>As a minimum, have the following people to run the race</t>
  </si>
  <si>
    <t xml:space="preserve">  2) A car handler to get the cars from the pit area and hand them to the starter,</t>
  </si>
  <si>
    <t xml:space="preserve">  3) A finish judge to determine the finish place for each lane, and to tell the finish order to the scorer,</t>
  </si>
  <si>
    <t xml:space="preserve">  4) A scorer to run this spreadsheet,</t>
  </si>
  <si>
    <t xml:space="preserve">  5) and a runner to carry cars from the finish line back to the pit area.</t>
  </si>
  <si>
    <t>During check-in, have someone write down names and car numbers on a sheet of paper while you type the names and car numbers into this spreedsheet.</t>
  </si>
  <si>
    <t xml:space="preserve">  1) A starter,</t>
  </si>
  <si>
    <t>After all racers have been entered, select the appropriate scoring sheet for the number of cars.</t>
  </si>
  <si>
    <t>After selecting the approprate sheet for the number of cars to run, select "Full Screen" mode from the "View" menu.  Also select a
zoom percentage to show the sheet as large as possible.</t>
  </si>
  <si>
    <t>You may need to resize the bottom row of the scoring sheet to not clip off the bottom of the cub names</t>
  </si>
  <si>
    <t>You can change the scoring sheet title by editing cell C50 on the "Names" sheet</t>
  </si>
  <si>
    <t>Lane 4</t>
  </si>
  <si>
    <t>1st</t>
  </si>
  <si>
    <t>2nd</t>
  </si>
  <si>
    <t>3rd</t>
  </si>
  <si>
    <t>Lane Finish</t>
  </si>
  <si>
    <t>The race order is based on the Partial Perfect-N (PPN) Charts</t>
  </si>
  <si>
    <t>A PPN chart is one which satisfies these conditions:</t>
  </si>
  <si>
    <t>2. Equality of opposition is optimized, i.e., no head to head matchup count exceeds another by more than 1.</t>
  </si>
  <si>
    <t>1. Each car races the same number of times in each lane (which implies that the number 'of races is a multiple of the number of cars)</t>
  </si>
  <si>
    <t>See "http://members.aol.com/StanDCmr/ppngen.html" for more details'</t>
  </si>
  <si>
    <t>During the race, select the current heat by entering the heat number in cell H2.  The current heat names and car numbers show up at the top.</t>
  </si>
  <si>
    <t>When a heat has been run, enter the lane number for the 1st, 2nd, and 3rd finishes</t>
  </si>
  <si>
    <t>If you are projecting the results onto a screen, pause for a bit to allow racers to see the finish results for that heat.  Then go back up to cell H2 and change to the next heat number.</t>
  </si>
  <si>
    <t>Work sheets are locked to prevent accidental changes to cells that aren't normally edited during a race.  Cells that you type in are a pale yellow color.  Unlock the sheet to allow editing of cell formulas and formats</t>
  </si>
  <si>
    <t>The car lane assignments follow the Partial Perfect N algorithm but you can easily change these assignments.  Unhide columns B, C, D, and E to see lane assignments.</t>
  </si>
  <si>
    <t>Be sure to assign each car in the pack (not just the den) a unique number so there is never any confusion about cars.</t>
  </si>
  <si>
    <t>In these column on the row for each heat are the lane assignments.  A 1 means the first car from the Names sheet, 2 is the second car, etc.  The cell formulas will work with any car lane assignments without changes.</t>
  </si>
  <si>
    <t>Developed by Bob Baggerman, bob@scoutdb.org (17 Jan 2005)</t>
  </si>
  <si>
    <t>This scoring spreadsheet can handle from 3 to 15 racers.  Cub scout names and car numbers are entered in the "Names" sheet before the race.  Start entering names and car numbers on line 2 and don't skip any lines. Put the den title or other title in C1.</t>
  </si>
  <si>
    <t>Car Number</t>
  </si>
  <si>
    <t>Driver</t>
  </si>
  <si>
    <t>Pinewood Derby Scoring</t>
  </si>
  <si>
    <t>Trailblazers</t>
  </si>
  <si>
    <t>Westminster Trailblazers Pinewood Derby</t>
  </si>
  <si>
    <t>Silas</t>
  </si>
  <si>
    <t>Caleb</t>
  </si>
  <si>
    <t>Luke</t>
  </si>
  <si>
    <t>Ro</t>
  </si>
  <si>
    <t>Zau</t>
  </si>
  <si>
    <t>Brady</t>
  </si>
  <si>
    <t>Theo</t>
  </si>
  <si>
    <t>Jonathan</t>
  </si>
  <si>
    <t>Emery</t>
  </si>
  <si>
    <t>Isaac</t>
  </si>
  <si>
    <t>Alain</t>
  </si>
  <si>
    <t>De</t>
  </si>
  <si>
    <t>Jack</t>
  </si>
  <si>
    <t>Cam</t>
  </si>
  <si>
    <t>Brenton</t>
  </si>
  <si>
    <t>Jospe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</si>
</sst>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amily val="2"/>
    </font>
    <font>
      <b/>
      <sz val="10"/>
      <name val="Arial"/>
      <family val="2"/>
    </font>
    <font>
      <b/>
      <sz val="14"/>
      <name val="Arial"/>
      <family val="2"/>
    </font>
    <font>
      <sz val="10"/>
      <name val="Arial"/>
      <family val="2"/>
    </font>
    <font>
      <b/>
      <i/>
      <sz val="14"/>
      <name val="Arial"/>
      <family val="2"/>
    </font>
    <font>
      <sz val="12"/>
      <name val="Arial"/>
      <family val="2"/>
    </font>
    <font>
      <sz val="14"/>
      <name val="Arial"/>
      <family val="2"/>
    </font>
    <font>
      <b/>
      <i/>
      <sz val="14"/>
      <name val="Arial Black"/>
      <family val="2"/>
    </font>
    <font>
      <b/>
      <sz val="12"/>
      <name val="Arial"/>
      <family val="2"/>
    </font>
    <font>
      <sz val="14"/>
      <color indexed="8"/>
      <name val="Arial Black"/>
      <family val="2"/>
    </font>
    <font>
      <b/>
      <sz val="16"/>
      <name val="Arial"/>
      <family val="2"/>
    </font>
    <font>
      <b/>
      <sz val="12"/>
      <name val="Arial Narrow"/>
      <family val="2"/>
    </font>
    <font>
      <b/>
      <i/>
      <sz val="10"/>
      <name val="Arial"/>
      <family val="2"/>
    </font>
    <font>
      <sz val="8"/>
      <name val="Arial"/>
      <family val="2"/>
    </font>
    <font>
      <b/>
      <sz val="26"/>
      <name val="Arial"/>
      <family val="2"/>
    </font>
  </fonts>
  <fills count="9">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11"/>
        <bgColor indexed="64"/>
      </patternFill>
    </fill>
    <fill>
      <patternFill patternType="solid">
        <fgColor indexed="13"/>
        <bgColor indexed="64"/>
      </patternFill>
    </fill>
    <fill>
      <patternFill patternType="solid">
        <fgColor indexed="53"/>
        <bgColor indexed="64"/>
      </patternFill>
    </fill>
    <fill>
      <patternFill patternType="solid">
        <fgColor theme="0" tint="-0.14999847407452621"/>
        <bgColor indexed="64"/>
      </patternFill>
    </fill>
    <fill>
      <patternFill patternType="solid">
        <fgColor rgb="FFFFFF0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1" fillId="0" borderId="0">
      <alignment vertical="center"/>
    </xf>
  </cellStyleXfs>
  <cellXfs count="160">
    <xf numFmtId="0" fontId="0" fillId="0" borderId="0" xfId="0"/>
    <xf numFmtId="0" fontId="1" fillId="0" borderId="0" xfId="1" applyAlignment="1">
      <alignment horizontal="center" vertical="center"/>
    </xf>
    <xf numFmtId="0" fontId="1" fillId="0" borderId="0" xfId="1">
      <alignment vertical="center"/>
    </xf>
    <xf numFmtId="0" fontId="3" fillId="0" borderId="1" xfId="0" applyFont="1" applyBorder="1" applyAlignment="1">
      <alignment horizontal="center"/>
    </xf>
    <xf numFmtId="0" fontId="6" fillId="0" borderId="2" xfId="0" applyFont="1" applyBorder="1" applyAlignment="1">
      <alignment horizontal="center"/>
    </xf>
    <xf numFmtId="0" fontId="9" fillId="2" borderId="3" xfId="0" applyFont="1" applyFill="1" applyBorder="1" applyAlignment="1">
      <alignment horizontal="center"/>
    </xf>
    <xf numFmtId="0" fontId="6" fillId="0" borderId="4" xfId="0" applyFont="1" applyBorder="1" applyAlignment="1">
      <alignment horizontal="center"/>
    </xf>
    <xf numFmtId="0" fontId="0" fillId="0" borderId="0" xfId="0" applyAlignment="1">
      <alignment horizontal="right"/>
    </xf>
    <xf numFmtId="0" fontId="3" fillId="0" borderId="0" xfId="0" applyFont="1" applyAlignment="1">
      <alignment horizontal="left" vertical="top" textRotation="135"/>
    </xf>
    <xf numFmtId="0" fontId="9" fillId="0" borderId="5" xfId="0" applyFont="1" applyBorder="1" applyAlignment="1">
      <alignment horizontal="center"/>
    </xf>
    <xf numFmtId="0" fontId="0" fillId="0" borderId="0" xfId="0" applyAlignment="1">
      <alignment horizontal="left" vertical="top"/>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9" fillId="0" borderId="9" xfId="0" applyFont="1" applyBorder="1" applyAlignment="1">
      <alignment horizontal="center"/>
    </xf>
    <xf numFmtId="0" fontId="9" fillId="2" borderId="1" xfId="0" applyFont="1" applyFill="1" applyBorder="1" applyAlignment="1">
      <alignment horizontal="center"/>
    </xf>
    <xf numFmtId="0" fontId="9" fillId="2" borderId="10" xfId="0" applyFont="1" applyFill="1" applyBorder="1" applyAlignment="1">
      <alignment horizontal="center"/>
    </xf>
    <xf numFmtId="0" fontId="4" fillId="0" borderId="0" xfId="0" applyFont="1" applyAlignment="1">
      <alignment horizontal="left"/>
    </xf>
    <xf numFmtId="0" fontId="6" fillId="0" borderId="11" xfId="0" applyFont="1" applyBorder="1" applyAlignment="1">
      <alignment horizontal="center"/>
    </xf>
    <xf numFmtId="0" fontId="6" fillId="0" borderId="1" xfId="0" applyFont="1" applyBorder="1" applyAlignment="1">
      <alignment horizontal="center"/>
    </xf>
    <xf numFmtId="0" fontId="9" fillId="2" borderId="4" xfId="0" applyFont="1" applyFill="1" applyBorder="1" applyAlignment="1">
      <alignment horizontal="center"/>
    </xf>
    <xf numFmtId="0" fontId="10" fillId="3" borderId="12" xfId="0" applyFont="1" applyFill="1" applyBorder="1" applyAlignment="1" applyProtection="1">
      <alignment horizontal="center"/>
      <protection locked="0"/>
    </xf>
    <xf numFmtId="49" fontId="2" fillId="0" borderId="0" xfId="0" applyNumberFormat="1" applyFont="1" applyAlignment="1">
      <alignment horizontal="center" wrapText="1"/>
    </xf>
    <xf numFmtId="49" fontId="0" fillId="0" borderId="0" xfId="0" applyNumberFormat="1" applyAlignment="1">
      <alignment wrapText="1"/>
    </xf>
    <xf numFmtId="49" fontId="13" fillId="0" borderId="0" xfId="0" applyNumberFormat="1" applyFont="1" applyAlignment="1">
      <alignment wrapText="1"/>
    </xf>
    <xf numFmtId="0" fontId="3" fillId="0" borderId="0" xfId="0" applyFont="1" applyAlignment="1">
      <alignment horizontal="center" vertical="center"/>
    </xf>
    <xf numFmtId="0" fontId="0" fillId="0" borderId="0" xfId="0" quotePrefix="1" applyAlignment="1">
      <alignment horizontal="center"/>
    </xf>
    <xf numFmtId="49" fontId="0" fillId="0" borderId="0" xfId="0" quotePrefix="1" applyNumberFormat="1" applyAlignment="1">
      <alignment wrapText="1"/>
    </xf>
    <xf numFmtId="0" fontId="0" fillId="0" borderId="0" xfId="0" applyAlignment="1">
      <alignment horizontal="left"/>
    </xf>
    <xf numFmtId="0" fontId="7" fillId="0" borderId="0" xfId="0" applyFont="1"/>
    <xf numFmtId="0" fontId="6" fillId="0" borderId="0" xfId="0" applyFont="1"/>
    <xf numFmtId="0" fontId="4" fillId="0" borderId="0" xfId="0" applyFont="1"/>
    <xf numFmtId="0" fontId="9" fillId="2" borderId="2" xfId="0" applyFont="1" applyFill="1" applyBorder="1" applyAlignment="1">
      <alignment horizontal="center"/>
    </xf>
    <xf numFmtId="0" fontId="4" fillId="4" borderId="1" xfId="0" applyFont="1" applyFill="1" applyBorder="1"/>
    <xf numFmtId="0" fontId="0" fillId="5" borderId="1" xfId="0" applyFill="1" applyBorder="1"/>
    <xf numFmtId="0" fontId="0" fillId="6" borderId="1" xfId="0" applyFill="1" applyBorder="1"/>
    <xf numFmtId="1" fontId="6" fillId="0" borderId="0" xfId="0" applyNumberFormat="1" applyFont="1"/>
    <xf numFmtId="0" fontId="6" fillId="0" borderId="13" xfId="0" applyFont="1" applyBorder="1" applyAlignment="1">
      <alignment horizontal="center"/>
    </xf>
    <xf numFmtId="0" fontId="6" fillId="0" borderId="14" xfId="0" applyFont="1" applyBorder="1" applyAlignment="1">
      <alignment horizontal="center"/>
    </xf>
    <xf numFmtId="0" fontId="6" fillId="0" borderId="10" xfId="0" applyFont="1" applyBorder="1" applyAlignment="1">
      <alignment horizontal="center"/>
    </xf>
    <xf numFmtId="0" fontId="6" fillId="0" borderId="15" xfId="0" applyFont="1" applyBorder="1" applyAlignment="1">
      <alignment horizontal="center"/>
    </xf>
    <xf numFmtId="49" fontId="0" fillId="0" borderId="0" xfId="0" quotePrefix="1" applyNumberFormat="1" applyAlignment="1">
      <alignment vertical="top" wrapText="1"/>
    </xf>
    <xf numFmtId="49" fontId="0" fillId="0" borderId="0" xfId="0" quotePrefix="1" applyNumberFormat="1" applyAlignment="1">
      <alignment horizontal="left" vertical="top" wrapText="1" indent="1"/>
    </xf>
    <xf numFmtId="0" fontId="9" fillId="2" borderId="15" xfId="0" applyFont="1" applyFill="1" applyBorder="1" applyAlignment="1">
      <alignment horizontal="center"/>
    </xf>
    <xf numFmtId="0" fontId="9" fillId="0" borderId="13" xfId="0" applyFont="1" applyBorder="1" applyAlignment="1">
      <alignment horizontal="center"/>
    </xf>
    <xf numFmtId="0" fontId="9" fillId="0" borderId="11" xfId="0" applyFont="1" applyBorder="1" applyAlignment="1">
      <alignment horizontal="center"/>
    </xf>
    <xf numFmtId="0" fontId="9" fillId="0" borderId="14" xfId="0" applyFont="1" applyBorder="1" applyAlignment="1">
      <alignment horizontal="center"/>
    </xf>
    <xf numFmtId="0" fontId="10" fillId="3" borderId="1" xfId="0" applyFont="1" applyFill="1" applyBorder="1" applyAlignment="1" applyProtection="1">
      <alignment horizontal="center"/>
      <protection locked="0"/>
    </xf>
    <xf numFmtId="0" fontId="3" fillId="0" borderId="16" xfId="0" applyFont="1" applyBorder="1" applyAlignment="1">
      <alignment horizontal="center"/>
    </xf>
    <xf numFmtId="0" fontId="6" fillId="3" borderId="13" xfId="0" applyFont="1" applyFill="1" applyBorder="1" applyAlignment="1" applyProtection="1">
      <alignment horizontal="center"/>
      <protection locked="0"/>
    </xf>
    <xf numFmtId="0" fontId="6" fillId="3" borderId="2" xfId="0" applyFont="1" applyFill="1" applyBorder="1" applyAlignment="1" applyProtection="1">
      <alignment horizontal="center"/>
      <protection locked="0"/>
    </xf>
    <xf numFmtId="0" fontId="9" fillId="2" borderId="17" xfId="0" applyFont="1" applyFill="1" applyBorder="1" applyAlignment="1">
      <alignment horizontal="center"/>
    </xf>
    <xf numFmtId="0" fontId="9" fillId="2" borderId="16" xfId="0" applyFont="1" applyFill="1" applyBorder="1" applyAlignment="1">
      <alignment horizontal="center"/>
    </xf>
    <xf numFmtId="0" fontId="9" fillId="2" borderId="18" xfId="0" applyFont="1" applyFill="1" applyBorder="1" applyAlignment="1">
      <alignment horizontal="center"/>
    </xf>
    <xf numFmtId="0" fontId="12" fillId="0" borderId="19" xfId="0" applyFont="1" applyBorder="1" applyAlignment="1">
      <alignment horizontal="center"/>
    </xf>
    <xf numFmtId="0" fontId="5" fillId="0" borderId="12" xfId="0" applyFont="1" applyBorder="1" applyAlignment="1">
      <alignment horizontal="center"/>
    </xf>
    <xf numFmtId="0" fontId="5" fillId="0" borderId="20"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23" xfId="0" applyFont="1" applyBorder="1" applyAlignment="1">
      <alignment horizontal="center"/>
    </xf>
    <xf numFmtId="0" fontId="6" fillId="3" borderId="24" xfId="0" applyFont="1" applyFill="1" applyBorder="1" applyAlignment="1" applyProtection="1">
      <alignment horizontal="center"/>
      <protection locked="0"/>
    </xf>
    <xf numFmtId="0" fontId="9" fillId="0" borderId="19" xfId="0" applyFont="1" applyBorder="1" applyAlignment="1">
      <alignment horizontal="center"/>
    </xf>
    <xf numFmtId="0" fontId="9" fillId="0" borderId="21" xfId="0" applyFont="1" applyBorder="1" applyAlignment="1">
      <alignment horizontal="center"/>
    </xf>
    <xf numFmtId="0" fontId="9" fillId="0" borderId="22" xfId="0" applyFont="1" applyBorder="1" applyAlignment="1">
      <alignment horizontal="center"/>
    </xf>
    <xf numFmtId="0" fontId="9" fillId="0" borderId="23" xfId="0" applyFont="1" applyBorder="1" applyAlignment="1">
      <alignment horizontal="center"/>
    </xf>
    <xf numFmtId="0" fontId="6" fillId="3" borderId="25" xfId="0" applyFont="1" applyFill="1" applyBorder="1" applyAlignment="1" applyProtection="1">
      <alignment horizontal="center"/>
      <protection locked="0"/>
    </xf>
    <xf numFmtId="0" fontId="9" fillId="0" borderId="26" xfId="0" applyFont="1" applyBorder="1" applyAlignment="1">
      <alignment horizontal="center"/>
    </xf>
    <xf numFmtId="0" fontId="9" fillId="0" borderId="27" xfId="0" applyFont="1" applyBorder="1" applyAlignment="1">
      <alignment horizontal="center"/>
    </xf>
    <xf numFmtId="0" fontId="9" fillId="0" borderId="28" xfId="0" applyFont="1" applyBorder="1" applyAlignment="1">
      <alignment horizontal="center"/>
    </xf>
    <xf numFmtId="0" fontId="6" fillId="0" borderId="3" xfId="0" applyFont="1" applyBorder="1" applyAlignment="1">
      <alignment horizontal="center"/>
    </xf>
    <xf numFmtId="0" fontId="9" fillId="0" borderId="29" xfId="0" applyFont="1" applyBorder="1" applyAlignment="1">
      <alignment horizontal="center"/>
    </xf>
    <xf numFmtId="0" fontId="9" fillId="0" borderId="30" xfId="0" applyFont="1" applyBorder="1" applyAlignment="1">
      <alignment horizontal="center"/>
    </xf>
    <xf numFmtId="0" fontId="6" fillId="0" borderId="31" xfId="0" applyFont="1" applyBorder="1" applyAlignment="1">
      <alignment horizontal="center"/>
    </xf>
    <xf numFmtId="0" fontId="6" fillId="0" borderId="32" xfId="0" applyFont="1" applyBorder="1" applyAlignment="1">
      <alignment horizontal="center"/>
    </xf>
    <xf numFmtId="0" fontId="6" fillId="0" borderId="33" xfId="0" applyFont="1" applyBorder="1" applyAlignment="1">
      <alignment horizontal="center"/>
    </xf>
    <xf numFmtId="0" fontId="6" fillId="3" borderId="1" xfId="0" applyFont="1" applyFill="1" applyBorder="1" applyAlignment="1" applyProtection="1">
      <alignment horizontal="center"/>
      <protection locked="0"/>
    </xf>
    <xf numFmtId="0" fontId="6" fillId="3" borderId="16" xfId="0" applyFont="1" applyFill="1" applyBorder="1" applyAlignment="1" applyProtection="1">
      <alignment horizontal="center"/>
      <protection locked="0"/>
    </xf>
    <xf numFmtId="0" fontId="6" fillId="3" borderId="14" xfId="0" applyFont="1" applyFill="1" applyBorder="1" applyAlignment="1" applyProtection="1">
      <alignment horizontal="center"/>
      <protection locked="0"/>
    </xf>
    <xf numFmtId="0" fontId="6" fillId="3" borderId="3" xfId="0" applyFont="1" applyFill="1" applyBorder="1" applyAlignment="1" applyProtection="1">
      <alignment horizontal="center"/>
      <protection locked="0"/>
    </xf>
    <xf numFmtId="0" fontId="6" fillId="3" borderId="4" xfId="0" applyFont="1" applyFill="1" applyBorder="1" applyAlignment="1" applyProtection="1">
      <alignment horizontal="center"/>
      <protection locked="0"/>
    </xf>
    <xf numFmtId="0" fontId="6" fillId="3" borderId="15" xfId="0" applyFont="1" applyFill="1" applyBorder="1" applyAlignment="1" applyProtection="1">
      <alignment horizontal="center"/>
      <protection locked="0"/>
    </xf>
    <xf numFmtId="0" fontId="6" fillId="3" borderId="11" xfId="0" applyFont="1" applyFill="1" applyBorder="1" applyAlignment="1" applyProtection="1">
      <alignment horizontal="center"/>
      <protection locked="0"/>
    </xf>
    <xf numFmtId="0" fontId="6" fillId="3" borderId="10" xfId="0" applyFont="1" applyFill="1" applyBorder="1" applyAlignment="1" applyProtection="1">
      <alignment horizontal="center"/>
      <protection locked="0"/>
    </xf>
    <xf numFmtId="0" fontId="9" fillId="0" borderId="34" xfId="0" applyFont="1" applyBorder="1" applyAlignment="1">
      <alignment horizontal="center" vertical="center"/>
    </xf>
    <xf numFmtId="0" fontId="3" fillId="0" borderId="12" xfId="0" applyFont="1" applyBorder="1" applyAlignment="1">
      <alignment horizontal="left"/>
    </xf>
    <xf numFmtId="0" fontId="3" fillId="0" borderId="35" xfId="0" applyFont="1" applyBorder="1" applyAlignment="1">
      <alignment horizontal="left"/>
    </xf>
    <xf numFmtId="0" fontId="3" fillId="0" borderId="20" xfId="0" applyFont="1" applyBorder="1" applyAlignment="1">
      <alignment horizontal="left"/>
    </xf>
    <xf numFmtId="0" fontId="9" fillId="0" borderId="36" xfId="0" applyFont="1" applyBorder="1" applyAlignment="1">
      <alignment horizontal="center" vertical="center"/>
    </xf>
    <xf numFmtId="0" fontId="9" fillId="2" borderId="13" xfId="0" applyFont="1" applyFill="1" applyBorder="1" applyAlignment="1">
      <alignment horizontal="center"/>
    </xf>
    <xf numFmtId="0" fontId="9" fillId="2" borderId="11" xfId="0" applyFont="1" applyFill="1" applyBorder="1" applyAlignment="1">
      <alignment horizontal="center"/>
    </xf>
    <xf numFmtId="0" fontId="9" fillId="2" borderId="14" xfId="0" applyFont="1" applyFill="1" applyBorder="1" applyAlignment="1">
      <alignment horizontal="center"/>
    </xf>
    <xf numFmtId="0" fontId="6" fillId="0" borderId="37" xfId="0" applyFont="1" applyBorder="1" applyAlignment="1">
      <alignment horizontal="center"/>
    </xf>
    <xf numFmtId="0" fontId="6" fillId="0" borderId="38" xfId="0" applyFont="1" applyBorder="1" applyAlignment="1">
      <alignment horizontal="center"/>
    </xf>
    <xf numFmtId="0" fontId="6" fillId="0" borderId="39" xfId="0" applyFont="1" applyBorder="1" applyAlignment="1">
      <alignment horizontal="center"/>
    </xf>
    <xf numFmtId="0" fontId="6" fillId="3" borderId="40" xfId="0" applyFont="1" applyFill="1" applyBorder="1" applyAlignment="1" applyProtection="1">
      <alignment horizontal="center"/>
      <protection locked="0"/>
    </xf>
    <xf numFmtId="0" fontId="6" fillId="3" borderId="41" xfId="0" applyFont="1" applyFill="1" applyBorder="1" applyAlignment="1" applyProtection="1">
      <alignment horizontal="center"/>
      <protection locked="0"/>
    </xf>
    <xf numFmtId="0" fontId="6" fillId="3" borderId="42" xfId="0" applyFont="1" applyFill="1" applyBorder="1" applyAlignment="1" applyProtection="1">
      <alignment horizontal="center"/>
      <protection locked="0"/>
    </xf>
    <xf numFmtId="0" fontId="6" fillId="3" borderId="17" xfId="0" applyFont="1" applyFill="1" applyBorder="1" applyAlignment="1" applyProtection="1">
      <alignment horizontal="center"/>
      <protection locked="0"/>
    </xf>
    <xf numFmtId="0" fontId="6" fillId="3" borderId="18" xfId="0" applyFont="1" applyFill="1" applyBorder="1" applyAlignment="1" applyProtection="1">
      <alignment horizontal="center"/>
      <protection locked="0"/>
    </xf>
    <xf numFmtId="0" fontId="6" fillId="3" borderId="43" xfId="0" applyFont="1" applyFill="1" applyBorder="1" applyAlignment="1" applyProtection="1">
      <alignment horizontal="center"/>
      <protection locked="0"/>
    </xf>
    <xf numFmtId="0" fontId="6" fillId="3" borderId="44" xfId="0" applyFont="1" applyFill="1" applyBorder="1" applyAlignment="1" applyProtection="1">
      <alignment horizontal="center"/>
      <protection locked="0"/>
    </xf>
    <xf numFmtId="0" fontId="6" fillId="3" borderId="45" xfId="0" applyFont="1" applyFill="1" applyBorder="1" applyAlignment="1" applyProtection="1">
      <alignment horizontal="center"/>
      <protection locked="0"/>
    </xf>
    <xf numFmtId="0" fontId="9" fillId="0" borderId="25" xfId="0" applyFont="1" applyBorder="1" applyAlignment="1">
      <alignment horizontal="center"/>
    </xf>
    <xf numFmtId="0" fontId="9" fillId="0" borderId="16" xfId="0" applyFont="1" applyBorder="1" applyAlignment="1">
      <alignment horizontal="center"/>
    </xf>
    <xf numFmtId="0" fontId="9" fillId="0" borderId="18" xfId="0" applyFont="1" applyBorder="1" applyAlignment="1">
      <alignment horizontal="center"/>
    </xf>
    <xf numFmtId="0" fontId="6" fillId="0" borderId="47" xfId="0" applyFont="1" applyBorder="1" applyAlignment="1">
      <alignment horizontal="center"/>
    </xf>
    <xf numFmtId="0" fontId="4" fillId="0" borderId="0" xfId="1" quotePrefix="1" applyFont="1">
      <alignment vertical="center"/>
    </xf>
    <xf numFmtId="0" fontId="2" fillId="0" borderId="1" xfId="1" applyFont="1" applyBorder="1" applyAlignment="1">
      <alignment horizontal="center" vertical="center"/>
    </xf>
    <xf numFmtId="0" fontId="2" fillId="7" borderId="1" xfId="1" applyFont="1" applyFill="1" applyBorder="1" applyAlignment="1">
      <alignment horizontal="center" vertical="center"/>
    </xf>
    <xf numFmtId="0" fontId="2" fillId="7" borderId="1" xfId="1" applyFont="1" applyFill="1" applyBorder="1">
      <alignment vertical="center"/>
    </xf>
    <xf numFmtId="0" fontId="4" fillId="0" borderId="1" xfId="1" applyFont="1" applyBorder="1" applyAlignment="1">
      <alignment horizontal="center" vertical="center"/>
    </xf>
    <xf numFmtId="0" fontId="2" fillId="0" borderId="1" xfId="0" applyFont="1" applyBorder="1"/>
    <xf numFmtId="0" fontId="9" fillId="0" borderId="53" xfId="0" applyFont="1" applyBorder="1" applyAlignment="1">
      <alignment horizontal="center"/>
    </xf>
    <xf numFmtId="0" fontId="9" fillId="0" borderId="0" xfId="0" applyFont="1" applyAlignment="1">
      <alignment horizontal="center" vertical="center"/>
    </xf>
    <xf numFmtId="0" fontId="6" fillId="0" borderId="0" xfId="0" applyFont="1" applyAlignment="1">
      <alignment horizontal="center"/>
    </xf>
    <xf numFmtId="0" fontId="6" fillId="3" borderId="54" xfId="0" applyFont="1" applyFill="1" applyBorder="1" applyAlignment="1" applyProtection="1">
      <alignment horizontal="center"/>
      <protection locked="0"/>
    </xf>
    <xf numFmtId="0" fontId="6" fillId="3" borderId="55" xfId="0" applyFont="1" applyFill="1" applyBorder="1" applyAlignment="1" applyProtection="1">
      <alignment horizontal="center"/>
      <protection locked="0"/>
    </xf>
    <xf numFmtId="0" fontId="9" fillId="2" borderId="40" xfId="0" applyFont="1" applyFill="1" applyBorder="1" applyAlignment="1">
      <alignment horizontal="center"/>
    </xf>
    <xf numFmtId="0" fontId="9" fillId="2" borderId="41" xfId="0" applyFont="1" applyFill="1" applyBorder="1" applyAlignment="1">
      <alignment horizontal="center"/>
    </xf>
    <xf numFmtId="0" fontId="9" fillId="2" borderId="55" xfId="0" applyFont="1" applyFill="1" applyBorder="1" applyAlignment="1">
      <alignment horizontal="center"/>
    </xf>
    <xf numFmtId="0" fontId="9" fillId="0" borderId="46" xfId="0" applyFont="1" applyBorder="1" applyAlignment="1" applyProtection="1">
      <alignment horizontal="center"/>
      <protection locked="0"/>
    </xf>
    <xf numFmtId="0" fontId="9" fillId="0" borderId="10" xfId="0" applyFont="1" applyBorder="1" applyAlignment="1" applyProtection="1">
      <alignment horizontal="center"/>
      <protection locked="0"/>
    </xf>
    <xf numFmtId="0" fontId="9" fillId="0" borderId="15" xfId="0" applyFont="1" applyBorder="1" applyAlignment="1" applyProtection="1">
      <alignment horizontal="center"/>
      <protection locked="0"/>
    </xf>
    <xf numFmtId="0" fontId="2" fillId="8" borderId="1" xfId="1" applyFont="1" applyFill="1" applyBorder="1">
      <alignment vertical="center"/>
    </xf>
    <xf numFmtId="0" fontId="2" fillId="8" borderId="1" xfId="0" applyFont="1" applyFill="1" applyBorder="1"/>
    <xf numFmtId="0" fontId="1" fillId="0" borderId="0" xfId="1" applyAlignment="1">
      <alignment horizontal="center" vertical="center"/>
    </xf>
    <xf numFmtId="0" fontId="4" fillId="0" borderId="0" xfId="1" applyFont="1" applyAlignment="1">
      <alignment horizontal="center" vertical="center"/>
    </xf>
    <xf numFmtId="0" fontId="15" fillId="0" borderId="0" xfId="1" applyFont="1" applyAlignment="1">
      <alignment horizontal="center" vertical="center"/>
    </xf>
    <xf numFmtId="0" fontId="5" fillId="0" borderId="12" xfId="0" applyFont="1" applyBorder="1" applyAlignment="1">
      <alignment horizontal="center"/>
    </xf>
    <xf numFmtId="0" fontId="5" fillId="0" borderId="20" xfId="0" applyFont="1" applyBorder="1" applyAlignment="1">
      <alignment horizontal="center"/>
    </xf>
    <xf numFmtId="0" fontId="3" fillId="0" borderId="1" xfId="0" applyFont="1" applyBorder="1" applyAlignment="1">
      <alignment horizontal="center"/>
    </xf>
    <xf numFmtId="0" fontId="0" fillId="0" borderId="1" xfId="0" quotePrefix="1" applyBorder="1" applyAlignment="1">
      <alignment horizontal="center" vertical="center"/>
    </xf>
    <xf numFmtId="0" fontId="3" fillId="0" borderId="0" xfId="0" applyFont="1" applyAlignment="1">
      <alignment horizontal="center" vertical="center"/>
    </xf>
    <xf numFmtId="0" fontId="8" fillId="0" borderId="12" xfId="0" applyFont="1" applyBorder="1" applyAlignment="1">
      <alignment horizontal="center"/>
    </xf>
    <xf numFmtId="0" fontId="8" fillId="0" borderId="20" xfId="0" applyFont="1" applyBorder="1" applyAlignment="1">
      <alignment horizontal="center"/>
    </xf>
    <xf numFmtId="0" fontId="11" fillId="0" borderId="12"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6" fillId="0" borderId="12" xfId="0" applyFont="1" applyBorder="1" applyAlignment="1">
      <alignment horizontal="center" vertical="center"/>
    </xf>
    <xf numFmtId="0" fontId="6" fillId="0" borderId="35" xfId="0" applyFont="1" applyBorder="1" applyAlignment="1">
      <alignment horizontal="center" vertical="center"/>
    </xf>
    <xf numFmtId="0" fontId="6" fillId="0" borderId="20" xfId="0" applyFont="1" applyBorder="1" applyAlignment="1">
      <alignment horizontal="center" vertical="center"/>
    </xf>
    <xf numFmtId="0" fontId="6" fillId="0" borderId="4" xfId="0" applyFont="1" applyBorder="1" applyAlignment="1">
      <alignment horizontal="center"/>
    </xf>
    <xf numFmtId="0" fontId="6" fillId="0" borderId="10" xfId="0" applyFont="1" applyBorder="1" applyAlignment="1">
      <alignment horizontal="center"/>
    </xf>
    <xf numFmtId="0" fontId="6" fillId="0" borderId="15" xfId="0" applyFont="1" applyBorder="1" applyAlignment="1">
      <alignment horizontal="center"/>
    </xf>
    <xf numFmtId="0" fontId="9" fillId="0" borderId="9" xfId="0" applyFont="1" applyBorder="1" applyAlignment="1">
      <alignment horizontal="center" vertical="center"/>
    </xf>
    <xf numFmtId="0" fontId="9" fillId="0" borderId="48" xfId="0" applyFont="1" applyBorder="1" applyAlignment="1">
      <alignment horizontal="center" vertical="center"/>
    </xf>
    <xf numFmtId="0" fontId="9" fillId="0" borderId="49" xfId="0" applyFont="1" applyBorder="1" applyAlignment="1">
      <alignment horizontal="center"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6" fillId="0" borderId="13" xfId="0" applyFont="1" applyBorder="1" applyAlignment="1">
      <alignment horizontal="center"/>
    </xf>
    <xf numFmtId="0" fontId="6" fillId="0" borderId="11" xfId="0" applyFont="1" applyBorder="1" applyAlignment="1">
      <alignment horizontal="center"/>
    </xf>
    <xf numFmtId="0" fontId="6" fillId="0" borderId="14" xfId="0" applyFont="1" applyBorder="1" applyAlignment="1">
      <alignment horizontal="center"/>
    </xf>
    <xf numFmtId="0" fontId="9" fillId="0" borderId="50" xfId="0" applyFont="1" applyBorder="1" applyAlignment="1">
      <alignment horizontal="center" vertical="center"/>
    </xf>
    <xf numFmtId="0" fontId="11" fillId="0" borderId="0" xfId="0" applyFont="1" applyAlignment="1">
      <alignment horizontal="center" vertic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0" fillId="0" borderId="20" xfId="0" applyBorder="1"/>
  </cellXfs>
  <cellStyles count="2">
    <cellStyle name="Normal" xfId="0" builtinId="0"/>
    <cellStyle name="Normal_PinewoodFormsNew" xfId="1" xr:uid="{00000000-0005-0000-0000-000001000000}"/>
  </cellStyles>
  <dxfs count="550">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
      <fill>
        <patternFill>
          <bgColor rgb="FF00FF00"/>
        </patternFill>
      </fill>
    </dxf>
    <dxf>
      <fill>
        <patternFill>
          <bgColor rgb="FFFFFF00"/>
        </patternFill>
      </fill>
    </dxf>
    <dxf>
      <fill>
        <patternFill>
          <bgColor rgb="FFFF6600"/>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ill>
        <patternFill>
          <bgColor indexed="53"/>
        </patternFill>
      </fill>
    </dxf>
    <dxf>
      <fill>
        <patternFill>
          <bgColor indexed="13"/>
        </patternFill>
      </fill>
    </dxf>
    <dxf>
      <fill>
        <patternFill>
          <bgColor indexed="11"/>
        </patternFill>
      </fill>
    </dxf>
    <dxf>
      <font>
        <condense val="0"/>
        <extend val="0"/>
        <color indexed="9"/>
      </font>
      <fill>
        <patternFill>
          <bgColor indexed="8"/>
        </patternFill>
      </fill>
    </dxf>
  </dxfs>
  <tableStyles count="0" defaultTableStyle="TableStyleMedium9" defaultPivotStyle="PivotStyleLight16"/>
  <colors>
    <mruColors>
      <color rgb="FFFF6600"/>
      <color rgb="FFFFFF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workbookViewId="0"/>
  </sheetViews>
  <sheetFormatPr defaultRowHeight="12.75" x14ac:dyDescent="0.2"/>
  <cols>
    <col min="1" max="1" width="113.42578125" style="23" customWidth="1"/>
  </cols>
  <sheetData>
    <row r="1" spans="1:1" x14ac:dyDescent="0.2">
      <c r="A1" s="22" t="s">
        <v>51</v>
      </c>
    </row>
    <row r="2" spans="1:1" x14ac:dyDescent="0.2">
      <c r="A2" s="22"/>
    </row>
    <row r="3" spans="1:1" x14ac:dyDescent="0.2">
      <c r="A3" s="23" t="s">
        <v>47</v>
      </c>
    </row>
    <row r="4" spans="1:1" x14ac:dyDescent="0.2">
      <c r="A4" s="41" t="s">
        <v>35</v>
      </c>
    </row>
    <row r="5" spans="1:1" x14ac:dyDescent="0.2">
      <c r="A5" s="41" t="s">
        <v>36</v>
      </c>
    </row>
    <row r="6" spans="1:1" ht="25.5" x14ac:dyDescent="0.2">
      <c r="A6" s="42" t="s">
        <v>38</v>
      </c>
    </row>
    <row r="7" spans="1:1" x14ac:dyDescent="0.2">
      <c r="A7" s="42" t="s">
        <v>37</v>
      </c>
    </row>
    <row r="8" spans="1:1" x14ac:dyDescent="0.2">
      <c r="A8" s="23" t="s">
        <v>39</v>
      </c>
    </row>
    <row r="10" spans="1:1" x14ac:dyDescent="0.2">
      <c r="A10" s="24" t="s">
        <v>14</v>
      </c>
    </row>
    <row r="12" spans="1:1" ht="25.5" x14ac:dyDescent="0.2">
      <c r="A12" s="27" t="s">
        <v>48</v>
      </c>
    </row>
    <row r="13" spans="1:1" x14ac:dyDescent="0.2">
      <c r="A13" s="23" t="s">
        <v>26</v>
      </c>
    </row>
    <row r="14" spans="1:1" ht="25.5" x14ac:dyDescent="0.2">
      <c r="A14" s="23" t="s">
        <v>40</v>
      </c>
    </row>
    <row r="15" spans="1:1" x14ac:dyDescent="0.2">
      <c r="A15" s="23" t="s">
        <v>41</v>
      </c>
    </row>
    <row r="16" spans="1:1" ht="25.5" x14ac:dyDescent="0.2">
      <c r="A16" s="23" t="s">
        <v>42</v>
      </c>
    </row>
    <row r="17" spans="1:1" ht="25.5" x14ac:dyDescent="0.2">
      <c r="A17" s="23" t="s">
        <v>15</v>
      </c>
    </row>
    <row r="18" spans="1:1" ht="25.5" x14ac:dyDescent="0.2">
      <c r="A18" s="23" t="s">
        <v>16</v>
      </c>
    </row>
    <row r="19" spans="1:1" x14ac:dyDescent="0.2">
      <c r="A19" s="23" t="s">
        <v>17</v>
      </c>
    </row>
    <row r="21" spans="1:1" x14ac:dyDescent="0.2">
      <c r="A21" s="24" t="s">
        <v>18</v>
      </c>
    </row>
    <row r="23" spans="1:1" x14ac:dyDescent="0.2">
      <c r="A23" s="23" t="s">
        <v>45</v>
      </c>
    </row>
    <row r="24" spans="1:1" ht="25.5" x14ac:dyDescent="0.2">
      <c r="A24" s="23" t="s">
        <v>24</v>
      </c>
    </row>
    <row r="25" spans="1:1" x14ac:dyDescent="0.2">
      <c r="A25" s="23" t="s">
        <v>19</v>
      </c>
    </row>
    <row r="26" spans="1:1" x14ac:dyDescent="0.2">
      <c r="A26" s="23" t="s">
        <v>25</v>
      </c>
    </row>
    <row r="27" spans="1:1" x14ac:dyDescent="0.2">
      <c r="A27" s="23" t="s">
        <v>20</v>
      </c>
    </row>
    <row r="28" spans="1:1" x14ac:dyDescent="0.2">
      <c r="A28" s="23" t="s">
        <v>21</v>
      </c>
    </row>
    <row r="29" spans="1:1" x14ac:dyDescent="0.2">
      <c r="A29" s="23" t="s">
        <v>22</v>
      </c>
    </row>
    <row r="30" spans="1:1" x14ac:dyDescent="0.2">
      <c r="A30" s="23" t="s">
        <v>23</v>
      </c>
    </row>
    <row r="31" spans="1:1" ht="25.5" x14ac:dyDescent="0.2">
      <c r="A31" s="23" t="s">
        <v>27</v>
      </c>
    </row>
    <row r="32" spans="1:1" x14ac:dyDescent="0.2">
      <c r="A32" s="23" t="s">
        <v>28</v>
      </c>
    </row>
    <row r="33" spans="1:1" x14ac:dyDescent="0.2">
      <c r="A33" s="23" t="s">
        <v>29</v>
      </c>
    </row>
    <row r="34" spans="1:1" ht="25.5" x14ac:dyDescent="0.2">
      <c r="A34" s="23" t="s">
        <v>43</v>
      </c>
    </row>
    <row r="35" spans="1:1" ht="25.5" x14ac:dyDescent="0.2">
      <c r="A35" s="23" t="s">
        <v>44</v>
      </c>
    </row>
    <row r="36" spans="1:1" ht="25.5" x14ac:dyDescent="0.2">
      <c r="A36" s="23" t="s">
        <v>46</v>
      </c>
    </row>
  </sheetData>
  <phoneticPr fontId="14"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J60"/>
  <sheetViews>
    <sheetView tabSelected="1" zoomScale="140" zoomScaleNormal="140" workbookViewId="0">
      <selection activeCell="B18" sqref="B18"/>
    </sheetView>
  </sheetViews>
  <sheetFormatPr defaultColWidth="9.140625" defaultRowHeight="12.75" x14ac:dyDescent="0.2"/>
  <cols>
    <col min="1" max="1" width="12.5703125" style="1" customWidth="1"/>
    <col min="2" max="2" width="30.28515625" style="2" customWidth="1"/>
    <col min="3" max="3" width="12.7109375" style="2" customWidth="1"/>
    <col min="4" max="16384" width="9.140625" style="2"/>
  </cols>
  <sheetData>
    <row r="1" spans="1:10" x14ac:dyDescent="0.2">
      <c r="A1" s="108" t="s">
        <v>49</v>
      </c>
      <c r="B1" s="109" t="s">
        <v>7</v>
      </c>
      <c r="C1" s="108" t="s">
        <v>50</v>
      </c>
      <c r="E1" s="127" t="s">
        <v>52</v>
      </c>
      <c r="F1" s="127"/>
      <c r="G1" s="127"/>
      <c r="H1" s="127"/>
      <c r="I1" s="127"/>
      <c r="J1" s="127"/>
    </row>
    <row r="2" spans="1:10" x14ac:dyDescent="0.2">
      <c r="A2" s="107">
        <v>1</v>
      </c>
      <c r="B2" s="123" t="s">
        <v>56</v>
      </c>
      <c r="C2" s="110"/>
      <c r="E2" s="127"/>
      <c r="F2" s="127"/>
      <c r="G2" s="127"/>
      <c r="H2" s="127"/>
      <c r="I2" s="127"/>
      <c r="J2" s="127"/>
    </row>
    <row r="3" spans="1:10" x14ac:dyDescent="0.2">
      <c r="A3" s="107">
        <v>2</v>
      </c>
      <c r="B3" s="123" t="s">
        <v>57</v>
      </c>
      <c r="C3" s="110"/>
    </row>
    <row r="4" spans="1:10" x14ac:dyDescent="0.2">
      <c r="A4" s="107">
        <v>3</v>
      </c>
      <c r="B4" s="123" t="s">
        <v>55</v>
      </c>
      <c r="C4" s="110"/>
    </row>
    <row r="5" spans="1:10" x14ac:dyDescent="0.2">
      <c r="A5" s="107">
        <v>4</v>
      </c>
      <c r="B5" s="123" t="s">
        <v>58</v>
      </c>
      <c r="C5" s="110"/>
    </row>
    <row r="6" spans="1:10" x14ac:dyDescent="0.2">
      <c r="A6" s="107">
        <v>5</v>
      </c>
      <c r="B6" s="123" t="s">
        <v>59</v>
      </c>
      <c r="C6" s="110"/>
    </row>
    <row r="7" spans="1:10" x14ac:dyDescent="0.2">
      <c r="A7" s="107">
        <v>6</v>
      </c>
      <c r="B7" s="123" t="s">
        <v>60</v>
      </c>
      <c r="C7" s="110"/>
      <c r="H7" s="106"/>
    </row>
    <row r="8" spans="1:10" x14ac:dyDescent="0.2">
      <c r="A8" s="107">
        <v>7</v>
      </c>
      <c r="B8" s="123" t="s">
        <v>61</v>
      </c>
      <c r="C8" s="110"/>
    </row>
    <row r="9" spans="1:10" x14ac:dyDescent="0.2">
      <c r="A9" s="107">
        <v>8</v>
      </c>
      <c r="B9" s="123" t="s">
        <v>68</v>
      </c>
      <c r="C9" s="110"/>
    </row>
    <row r="10" spans="1:10" x14ac:dyDescent="0.2">
      <c r="A10" s="107">
        <v>9</v>
      </c>
      <c r="B10" s="123" t="s">
        <v>69</v>
      </c>
      <c r="C10" s="110"/>
      <c r="H10" s="106"/>
    </row>
    <row r="11" spans="1:10" x14ac:dyDescent="0.2">
      <c r="A11" s="107">
        <v>13</v>
      </c>
      <c r="B11" s="123" t="s">
        <v>62</v>
      </c>
      <c r="C11" s="110"/>
    </row>
    <row r="12" spans="1:10" x14ac:dyDescent="0.2">
      <c r="A12" s="107">
        <v>14</v>
      </c>
      <c r="B12" s="123" t="s">
        <v>63</v>
      </c>
      <c r="C12" s="110"/>
    </row>
    <row r="13" spans="1:10" x14ac:dyDescent="0.2">
      <c r="A13" s="107">
        <v>23</v>
      </c>
      <c r="B13" s="123" t="s">
        <v>64</v>
      </c>
      <c r="C13" s="110"/>
    </row>
    <row r="14" spans="1:10" x14ac:dyDescent="0.2">
      <c r="A14" s="107">
        <v>30</v>
      </c>
      <c r="B14" s="123" t="s">
        <v>54</v>
      </c>
      <c r="C14" s="110"/>
    </row>
    <row r="15" spans="1:10" x14ac:dyDescent="0.2">
      <c r="A15" s="107">
        <v>37</v>
      </c>
      <c r="B15" s="124" t="s">
        <v>65</v>
      </c>
      <c r="C15" s="110"/>
    </row>
    <row r="16" spans="1:10" x14ac:dyDescent="0.2">
      <c r="A16" s="107">
        <v>49</v>
      </c>
      <c r="B16" s="124" t="s">
        <v>66</v>
      </c>
      <c r="C16" s="110"/>
    </row>
    <row r="17" spans="1:8" x14ac:dyDescent="0.2">
      <c r="A17" s="107">
        <v>99</v>
      </c>
      <c r="B17" s="124" t="s">
        <v>67</v>
      </c>
      <c r="C17" s="110"/>
      <c r="H17" s="106"/>
    </row>
    <row r="18" spans="1:8" x14ac:dyDescent="0.2">
      <c r="A18" s="107"/>
      <c r="B18" s="124"/>
      <c r="C18" s="110"/>
    </row>
    <row r="19" spans="1:8" x14ac:dyDescent="0.2">
      <c r="A19" s="107"/>
      <c r="B19" s="124"/>
      <c r="C19" s="110"/>
    </row>
    <row r="20" spans="1:8" x14ac:dyDescent="0.2">
      <c r="A20" s="107"/>
      <c r="B20" s="123"/>
      <c r="C20" s="110"/>
    </row>
    <row r="21" spans="1:8" x14ac:dyDescent="0.2">
      <c r="A21" s="107"/>
      <c r="B21" s="124"/>
      <c r="C21" s="110"/>
    </row>
    <row r="22" spans="1:8" x14ac:dyDescent="0.2">
      <c r="A22" s="107"/>
      <c r="B22" s="124"/>
      <c r="C22" s="110"/>
    </row>
    <row r="23" spans="1:8" x14ac:dyDescent="0.2">
      <c r="A23" s="107"/>
      <c r="B23" s="111"/>
      <c r="C23" s="110"/>
    </row>
    <row r="24" spans="1:8" x14ac:dyDescent="0.2">
      <c r="A24" s="107"/>
      <c r="B24" s="111"/>
      <c r="C24" s="110"/>
    </row>
    <row r="25" spans="1:8" x14ac:dyDescent="0.2">
      <c r="A25" s="107"/>
      <c r="B25" s="111"/>
      <c r="C25" s="110"/>
    </row>
    <row r="26" spans="1:8" x14ac:dyDescent="0.2">
      <c r="A26" s="107"/>
      <c r="B26" s="111"/>
      <c r="C26" s="110"/>
    </row>
    <row r="60" spans="2:6" x14ac:dyDescent="0.2">
      <c r="B60" s="125" t="s">
        <v>53</v>
      </c>
      <c r="C60" s="126"/>
      <c r="D60" s="126"/>
      <c r="E60" s="126"/>
      <c r="F60" s="126"/>
    </row>
  </sheetData>
  <mergeCells count="2">
    <mergeCell ref="B60:F60"/>
    <mergeCell ref="E1:J2"/>
  </mergeCells>
  <phoneticPr fontId="14"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34B1-BE32-4C2F-8E85-F1AA6417D9F9}">
  <dimension ref="B1:AL38"/>
  <sheetViews>
    <sheetView showGridLines="0" zoomScaleNormal="100" workbookViewId="0">
      <selection activeCell="H2" sqref="H2"/>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8" width="4.7109375" customWidth="1"/>
  </cols>
  <sheetData>
    <row r="1" spans="2:38"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8" s="29" customFormat="1" ht="22.5" x14ac:dyDescent="0.45">
      <c r="F2" s="133" t="s">
        <v>2</v>
      </c>
      <c r="G2" s="134"/>
      <c r="H2" s="47">
        <v>1</v>
      </c>
      <c r="I2" s="135" t="str">
        <f>+Names!$C$1</f>
        <v>Driver</v>
      </c>
      <c r="J2" s="136"/>
      <c r="K2" s="136"/>
      <c r="L2" s="137"/>
      <c r="M2" s="130" t="s">
        <v>8</v>
      </c>
      <c r="N2" s="130"/>
      <c r="R2" s="138" t="s">
        <v>12</v>
      </c>
      <c r="S2" s="139"/>
      <c r="T2" s="139"/>
      <c r="U2" s="140"/>
    </row>
    <row r="3" spans="2:38"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8"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8"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8" s="29" customFormat="1" ht="18.75" hidden="1" x14ac:dyDescent="0.3">
      <c r="E6" s="17"/>
      <c r="F6" s="55"/>
      <c r="G6" s="56"/>
      <c r="H6" s="3"/>
      <c r="I6" s="84"/>
      <c r="J6" s="85"/>
      <c r="K6" s="85"/>
      <c r="L6" s="86"/>
      <c r="M6" s="130"/>
      <c r="N6" s="130"/>
      <c r="R6"/>
      <c r="S6" s="26"/>
      <c r="T6" s="26"/>
      <c r="U6" s="26"/>
    </row>
    <row r="7" spans="2:38" ht="13.5" thickBot="1" x14ac:dyDescent="0.25">
      <c r="E7" s="28"/>
    </row>
    <row r="8" spans="2:38"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c r="AH8" s="113"/>
      <c r="AI8" s="113"/>
      <c r="AJ8" s="113"/>
      <c r="AK8" s="113"/>
      <c r="AL8" s="113"/>
    </row>
    <row r="9" spans="2:38"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c r="AH9" s="58">
        <f>+Names!$A$22</f>
        <v>0</v>
      </c>
      <c r="AI9" s="58">
        <f>+Names!$A$23</f>
        <v>0</v>
      </c>
      <c r="AJ9" s="58">
        <f>+Names!$A$24</f>
        <v>0</v>
      </c>
      <c r="AK9" s="58">
        <f>+Names!$A$25</f>
        <v>0</v>
      </c>
      <c r="AL9" s="58">
        <f>+Names!$A$26</f>
        <v>0</v>
      </c>
    </row>
    <row r="10" spans="2:38" s="30" customFormat="1" ht="15.75" x14ac:dyDescent="0.25">
      <c r="B10" s="36">
        <v>1</v>
      </c>
      <c r="C10" s="36">
        <v>3</v>
      </c>
      <c r="D10" s="36">
        <v>6</v>
      </c>
      <c r="E10" s="36"/>
      <c r="F10" s="11">
        <v>1</v>
      </c>
      <c r="G10" s="37">
        <f ca="1">INDIRECT(ADDRESS(B10+1,1,,,"Names"))</f>
        <v>1</v>
      </c>
      <c r="H10" s="18">
        <f t="shared" ref="H10:I2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5"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E10:AL24" si="2">IF(ISNA(MATCH(COLUMN()-13,$B10:$E10,0)),"",IF($K10=MATCH(COLUMN()-13,$B10:$E10,0),3,IF($L10=MATCH(COLUMN()-13,$B10:$E10,0),2,IF($M10=MATCH(COLUMN()-13,$B10:$E10,0),1," "))))</f>
        <v/>
      </c>
      <c r="AF10" s="52" t="str">
        <f t="shared" si="2"/>
        <v/>
      </c>
      <c r="AG10" s="15" t="str">
        <f t="shared" si="2"/>
        <v/>
      </c>
      <c r="AH10" s="15" t="str">
        <f t="shared" si="2"/>
        <v/>
      </c>
      <c r="AI10" s="15" t="str">
        <f t="shared" si="2"/>
        <v/>
      </c>
      <c r="AJ10" s="15" t="str">
        <f t="shared" si="2"/>
        <v/>
      </c>
      <c r="AK10" s="15" t="str">
        <f t="shared" si="2"/>
        <v/>
      </c>
      <c r="AL10" s="53" t="str">
        <f t="shared" si="2"/>
        <v/>
      </c>
    </row>
    <row r="11" spans="2:38" s="30" customFormat="1" ht="15.75" x14ac:dyDescent="0.25">
      <c r="B11" s="36">
        <v>2</v>
      </c>
      <c r="C11" s="36">
        <v>4</v>
      </c>
      <c r="D11" s="36">
        <v>7</v>
      </c>
      <c r="E11" s="36"/>
      <c r="F11" s="12">
        <v>2</v>
      </c>
      <c r="G11" s="4">
        <f t="shared" ref="G11:I26" ca="1" si="3">INDIRECT(ADDRESS(B11+1,1,,,"Names"))</f>
        <v>2</v>
      </c>
      <c r="H11" s="19">
        <f t="shared" ca="1" si="0"/>
        <v>4</v>
      </c>
      <c r="I11" s="69">
        <f t="shared" ca="1" si="0"/>
        <v>7</v>
      </c>
      <c r="J11" s="92"/>
      <c r="K11" s="97"/>
      <c r="L11" s="76"/>
      <c r="M11" s="98"/>
      <c r="N11" s="32" t="str">
        <f t="shared" ref="N11:AC34"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15" t="str">
        <f t="shared" si="2"/>
        <v/>
      </c>
      <c r="AH11" s="15" t="str">
        <f t="shared" si="2"/>
        <v/>
      </c>
      <c r="AI11" s="15" t="str">
        <f t="shared" si="2"/>
        <v/>
      </c>
      <c r="AJ11" s="15" t="str">
        <f t="shared" si="2"/>
        <v/>
      </c>
      <c r="AK11" s="15" t="str">
        <f t="shared" si="2"/>
        <v/>
      </c>
      <c r="AL11" s="5" t="str">
        <f t="shared" si="2"/>
        <v/>
      </c>
    </row>
    <row r="12" spans="2:38"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15" t="str">
        <f t="shared" si="2"/>
        <v/>
      </c>
      <c r="AH12" s="15" t="str">
        <f t="shared" si="2"/>
        <v/>
      </c>
      <c r="AI12" s="15" t="str">
        <f t="shared" si="2"/>
        <v/>
      </c>
      <c r="AJ12" s="15" t="str">
        <f t="shared" si="2"/>
        <v/>
      </c>
      <c r="AK12" s="15" t="str">
        <f t="shared" si="2"/>
        <v/>
      </c>
      <c r="AL12" s="5" t="str">
        <f t="shared" si="2"/>
        <v/>
      </c>
    </row>
    <row r="13" spans="2:38"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15" t="str">
        <f t="shared" si="2"/>
        <v/>
      </c>
      <c r="AH13" s="15" t="str">
        <f t="shared" si="2"/>
        <v/>
      </c>
      <c r="AI13" s="15" t="str">
        <f t="shared" si="2"/>
        <v/>
      </c>
      <c r="AJ13" s="15" t="str">
        <f t="shared" si="2"/>
        <v/>
      </c>
      <c r="AK13" s="15" t="str">
        <f t="shared" si="2"/>
        <v/>
      </c>
      <c r="AL13" s="5" t="str">
        <f t="shared" si="2"/>
        <v/>
      </c>
    </row>
    <row r="14" spans="2:38"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1"/>
        <v/>
      </c>
      <c r="AC14" s="15" t="str">
        <f t="shared" si="1"/>
        <v/>
      </c>
      <c r="AD14" s="15" t="str">
        <f t="shared" si="1"/>
        <v/>
      </c>
      <c r="AE14" s="15" t="str">
        <f t="shared" si="2"/>
        <v/>
      </c>
      <c r="AF14" s="15" t="str">
        <f t="shared" si="2"/>
        <v/>
      </c>
      <c r="AG14" s="15" t="str">
        <f t="shared" si="2"/>
        <v/>
      </c>
      <c r="AH14" s="15" t="str">
        <f t="shared" si="2"/>
        <v/>
      </c>
      <c r="AI14" s="15" t="str">
        <f t="shared" si="2"/>
        <v/>
      </c>
      <c r="AJ14" s="15" t="str">
        <f t="shared" si="2"/>
        <v/>
      </c>
      <c r="AK14" s="15" t="str">
        <f t="shared" si="2"/>
        <v/>
      </c>
      <c r="AL14" s="5" t="str">
        <f t="shared" si="2"/>
        <v/>
      </c>
    </row>
    <row r="15" spans="2:38"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1"/>
        <v/>
      </c>
      <c r="AC15" s="15" t="str">
        <f t="shared" si="1"/>
        <v/>
      </c>
      <c r="AD15" s="15" t="str">
        <f t="shared" si="1"/>
        <v/>
      </c>
      <c r="AE15" s="15" t="str">
        <f t="shared" si="2"/>
        <v/>
      </c>
      <c r="AF15" s="15" t="str">
        <f t="shared" si="2"/>
        <v/>
      </c>
      <c r="AG15" s="15" t="str">
        <f t="shared" si="2"/>
        <v/>
      </c>
      <c r="AH15" s="15" t="str">
        <f t="shared" si="2"/>
        <v/>
      </c>
      <c r="AI15" s="15" t="str">
        <f t="shared" si="2"/>
        <v/>
      </c>
      <c r="AJ15" s="15" t="str">
        <f t="shared" si="2"/>
        <v/>
      </c>
      <c r="AK15" s="15" t="str">
        <f t="shared" si="2"/>
        <v/>
      </c>
      <c r="AL15" s="5" t="str">
        <f t="shared" si="2"/>
        <v/>
      </c>
    </row>
    <row r="16" spans="2:38"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1"/>
        <v/>
      </c>
      <c r="AC16" s="15" t="str">
        <f t="shared" si="1"/>
        <v/>
      </c>
      <c r="AD16" s="15" t="str">
        <f t="shared" si="1"/>
        <v/>
      </c>
      <c r="AE16" s="15" t="str">
        <f t="shared" si="2"/>
        <v/>
      </c>
      <c r="AF16" s="15" t="str">
        <f t="shared" si="2"/>
        <v/>
      </c>
      <c r="AG16" s="15" t="str">
        <f t="shared" si="2"/>
        <v/>
      </c>
      <c r="AH16" s="15" t="str">
        <f t="shared" si="2"/>
        <v/>
      </c>
      <c r="AI16" s="15" t="str">
        <f t="shared" si="2"/>
        <v/>
      </c>
      <c r="AJ16" s="15" t="str">
        <f t="shared" si="2"/>
        <v/>
      </c>
      <c r="AK16" s="15" t="str">
        <f t="shared" si="2"/>
        <v/>
      </c>
      <c r="AL16" s="5" t="str">
        <f t="shared" si="2"/>
        <v/>
      </c>
    </row>
    <row r="17" spans="2:38"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1"/>
        <v/>
      </c>
      <c r="AC17" s="15" t="str">
        <f t="shared" si="1"/>
        <v/>
      </c>
      <c r="AD17" s="15" t="str">
        <f t="shared" si="1"/>
        <v/>
      </c>
      <c r="AE17" s="15" t="str">
        <f t="shared" si="2"/>
        <v/>
      </c>
      <c r="AF17" s="15" t="str">
        <f t="shared" si="2"/>
        <v/>
      </c>
      <c r="AG17" s="15" t="str">
        <f t="shared" si="2"/>
        <v/>
      </c>
      <c r="AH17" s="15" t="str">
        <f t="shared" si="2"/>
        <v/>
      </c>
      <c r="AI17" s="15" t="str">
        <f t="shared" si="2"/>
        <v/>
      </c>
      <c r="AJ17" s="15" t="str">
        <f t="shared" si="2"/>
        <v/>
      </c>
      <c r="AK17" s="15" t="str">
        <f t="shared" si="2"/>
        <v/>
      </c>
      <c r="AL17" s="5" t="str">
        <f t="shared" si="2"/>
        <v/>
      </c>
    </row>
    <row r="18" spans="2:38"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1"/>
        <v/>
      </c>
      <c r="AC18" s="15" t="str">
        <f t="shared" si="1"/>
        <v/>
      </c>
      <c r="AD18" s="15" t="str">
        <f t="shared" si="1"/>
        <v/>
      </c>
      <c r="AE18" s="15" t="str">
        <f t="shared" si="2"/>
        <v/>
      </c>
      <c r="AF18" s="15" t="str">
        <f t="shared" si="2"/>
        <v/>
      </c>
      <c r="AG18" s="15" t="str">
        <f t="shared" si="2"/>
        <v/>
      </c>
      <c r="AH18" s="15" t="str">
        <f t="shared" si="2"/>
        <v/>
      </c>
      <c r="AI18" s="15" t="str">
        <f t="shared" si="2"/>
        <v/>
      </c>
      <c r="AJ18" s="15" t="str">
        <f t="shared" si="2"/>
        <v/>
      </c>
      <c r="AK18" s="15" t="str">
        <f t="shared" si="2"/>
        <v/>
      </c>
      <c r="AL18" s="5" t="str">
        <f t="shared" si="2"/>
        <v/>
      </c>
    </row>
    <row r="19" spans="2:38" s="30" customFormat="1" ht="15.75" x14ac:dyDescent="0.25">
      <c r="B19" s="36">
        <v>10</v>
      </c>
      <c r="C19" s="36">
        <v>12</v>
      </c>
      <c r="D19" s="36">
        <v>15</v>
      </c>
      <c r="E19" s="36"/>
      <c r="F19" s="12">
        <v>10</v>
      </c>
      <c r="G19" s="4">
        <f t="shared" ca="1" si="3"/>
        <v>13</v>
      </c>
      <c r="H19" s="19">
        <f t="shared" ca="1" si="0"/>
        <v>23</v>
      </c>
      <c r="I19" s="69">
        <f t="shared" ca="1" si="0"/>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1"/>
        <v xml:space="preserve"> </v>
      </c>
      <c r="AC19" s="15" t="str">
        <f t="shared" si="1"/>
        <v/>
      </c>
      <c r="AD19" s="15" t="str">
        <f t="shared" si="1"/>
        <v/>
      </c>
      <c r="AE19" s="15" t="str">
        <f t="shared" si="2"/>
        <v/>
      </c>
      <c r="AF19" s="15" t="str">
        <f t="shared" si="2"/>
        <v/>
      </c>
      <c r="AG19" s="15" t="str">
        <f t="shared" si="2"/>
        <v/>
      </c>
      <c r="AH19" s="15" t="str">
        <f t="shared" si="2"/>
        <v/>
      </c>
      <c r="AI19" s="15" t="str">
        <f t="shared" si="2"/>
        <v/>
      </c>
      <c r="AJ19" s="15" t="str">
        <f t="shared" si="2"/>
        <v/>
      </c>
      <c r="AK19" s="15" t="str">
        <f t="shared" si="2"/>
        <v/>
      </c>
      <c r="AL19" s="5" t="str">
        <f t="shared" si="2"/>
        <v/>
      </c>
    </row>
    <row r="20" spans="2:38" s="30" customFormat="1" ht="15.75" x14ac:dyDescent="0.25">
      <c r="B20" s="36">
        <v>11</v>
      </c>
      <c r="C20" s="36">
        <v>13</v>
      </c>
      <c r="D20" s="36">
        <v>16</v>
      </c>
      <c r="E20" s="36"/>
      <c r="F20" s="12">
        <v>11</v>
      </c>
      <c r="G20" s="4">
        <f t="shared" ca="1" si="3"/>
        <v>14</v>
      </c>
      <c r="H20" s="19">
        <f t="shared" ca="1" si="0"/>
        <v>30</v>
      </c>
      <c r="I20" s="69">
        <f t="shared" ca="1" si="0"/>
        <v>99</v>
      </c>
      <c r="J20" s="92"/>
      <c r="K20" s="97"/>
      <c r="L20" s="76"/>
      <c r="M20" s="98"/>
      <c r="N20" s="32" t="str">
        <f t="shared" si="4"/>
        <v/>
      </c>
      <c r="O20" s="15" t="str">
        <f t="shared" si="1"/>
        <v/>
      </c>
      <c r="P20" s="15" t="str">
        <f t="shared" si="1"/>
        <v/>
      </c>
      <c r="Q20" s="15" t="str">
        <f t="shared" si="1"/>
        <v/>
      </c>
      <c r="R20" s="15" t="str">
        <f t="shared" si="1"/>
        <v/>
      </c>
      <c r="S20" s="15" t="str">
        <f t="shared" si="1"/>
        <v/>
      </c>
      <c r="T20" s="15" t="str">
        <f t="shared" si="1"/>
        <v/>
      </c>
      <c r="U20" s="15" t="str">
        <f t="shared" si="1"/>
        <v/>
      </c>
      <c r="V20" s="15" t="str">
        <f t="shared" si="1"/>
        <v/>
      </c>
      <c r="W20" s="15" t="str">
        <f t="shared" si="1"/>
        <v/>
      </c>
      <c r="X20" s="15" t="str">
        <f t="shared" si="1"/>
        <v xml:space="preserve"> </v>
      </c>
      <c r="Y20" s="15" t="str">
        <f t="shared" si="1"/>
        <v/>
      </c>
      <c r="Z20" s="15" t="str">
        <f t="shared" si="1"/>
        <v xml:space="preserve"> </v>
      </c>
      <c r="AA20" s="15" t="str">
        <f t="shared" si="1"/>
        <v/>
      </c>
      <c r="AB20" s="15" t="str">
        <f t="shared" si="1"/>
        <v/>
      </c>
      <c r="AC20" s="15" t="str">
        <f t="shared" si="1"/>
        <v xml:space="preserve"> </v>
      </c>
      <c r="AD20" s="15" t="str">
        <f t="shared" si="1"/>
        <v/>
      </c>
      <c r="AE20" s="15" t="str">
        <f t="shared" si="2"/>
        <v/>
      </c>
      <c r="AF20" s="15" t="str">
        <f t="shared" si="2"/>
        <v/>
      </c>
      <c r="AG20" s="15" t="str">
        <f t="shared" si="2"/>
        <v/>
      </c>
      <c r="AH20" s="15" t="str">
        <f t="shared" si="2"/>
        <v/>
      </c>
      <c r="AI20" s="15" t="str">
        <f t="shared" si="2"/>
        <v/>
      </c>
      <c r="AJ20" s="15" t="str">
        <f t="shared" si="2"/>
        <v/>
      </c>
      <c r="AK20" s="15" t="str">
        <f t="shared" si="2"/>
        <v/>
      </c>
      <c r="AL20" s="5" t="str">
        <f t="shared" si="2"/>
        <v/>
      </c>
    </row>
    <row r="21" spans="2:38" s="30" customFormat="1" ht="15.75" x14ac:dyDescent="0.25">
      <c r="B21" s="36">
        <v>12</v>
      </c>
      <c r="C21" s="36">
        <v>14</v>
      </c>
      <c r="D21" s="36">
        <v>17</v>
      </c>
      <c r="E21" s="36"/>
      <c r="F21" s="12">
        <v>12</v>
      </c>
      <c r="G21" s="4">
        <f t="shared" ca="1" si="3"/>
        <v>23</v>
      </c>
      <c r="H21" s="19">
        <f t="shared" ca="1" si="0"/>
        <v>37</v>
      </c>
      <c r="I21" s="69">
        <f t="shared" ca="1" si="0"/>
        <v>0</v>
      </c>
      <c r="J21" s="92"/>
      <c r="K21" s="97"/>
      <c r="L21" s="76"/>
      <c r="M21" s="98"/>
      <c r="N21" s="32" t="str">
        <f t="shared" si="4"/>
        <v/>
      </c>
      <c r="O21" s="15" t="str">
        <f t="shared" si="1"/>
        <v/>
      </c>
      <c r="P21" s="15" t="str">
        <f t="shared" si="1"/>
        <v/>
      </c>
      <c r="Q21" s="15" t="str">
        <f t="shared" si="1"/>
        <v/>
      </c>
      <c r="R21" s="15" t="str">
        <f t="shared" si="1"/>
        <v/>
      </c>
      <c r="S21" s="15" t="str">
        <f t="shared" si="1"/>
        <v/>
      </c>
      <c r="T21" s="15" t="str">
        <f t="shared" si="1"/>
        <v/>
      </c>
      <c r="U21" s="15" t="str">
        <f t="shared" si="1"/>
        <v/>
      </c>
      <c r="V21" s="15" t="str">
        <f t="shared" si="1"/>
        <v/>
      </c>
      <c r="W21" s="15" t="str">
        <f t="shared" si="1"/>
        <v/>
      </c>
      <c r="X21" s="15" t="str">
        <f t="shared" si="1"/>
        <v/>
      </c>
      <c r="Y21" s="15" t="str">
        <f t="shared" si="1"/>
        <v xml:space="preserve"> </v>
      </c>
      <c r="Z21" s="15" t="str">
        <f t="shared" si="1"/>
        <v/>
      </c>
      <c r="AA21" s="15" t="str">
        <f t="shared" si="1"/>
        <v xml:space="preserve"> </v>
      </c>
      <c r="AB21" s="15" t="str">
        <f t="shared" si="1"/>
        <v/>
      </c>
      <c r="AC21" s="15" t="str">
        <f t="shared" si="1"/>
        <v/>
      </c>
      <c r="AD21" s="15" t="str">
        <f t="shared" si="1"/>
        <v xml:space="preserve"> </v>
      </c>
      <c r="AE21" s="15" t="str">
        <f t="shared" si="2"/>
        <v/>
      </c>
      <c r="AF21" s="15" t="str">
        <f t="shared" si="2"/>
        <v/>
      </c>
      <c r="AG21" s="15" t="str">
        <f t="shared" si="2"/>
        <v/>
      </c>
      <c r="AH21" s="15" t="str">
        <f t="shared" si="2"/>
        <v/>
      </c>
      <c r="AI21" s="15" t="str">
        <f t="shared" si="2"/>
        <v/>
      </c>
      <c r="AJ21" s="15" t="str">
        <f t="shared" si="2"/>
        <v/>
      </c>
      <c r="AK21" s="15" t="str">
        <f t="shared" si="2"/>
        <v/>
      </c>
      <c r="AL21" s="5" t="str">
        <f t="shared" si="2"/>
        <v/>
      </c>
    </row>
    <row r="22" spans="2:38" s="30" customFormat="1" ht="15.75" x14ac:dyDescent="0.25">
      <c r="B22" s="36">
        <v>13</v>
      </c>
      <c r="C22" s="36">
        <v>15</v>
      </c>
      <c r="D22" s="36">
        <v>18</v>
      </c>
      <c r="E22" s="36"/>
      <c r="F22" s="12">
        <v>13</v>
      </c>
      <c r="G22" s="4">
        <f t="shared" ca="1" si="3"/>
        <v>30</v>
      </c>
      <c r="H22" s="19">
        <f t="shared" ca="1" si="0"/>
        <v>49</v>
      </c>
      <c r="I22" s="69">
        <f t="shared" ca="1" si="0"/>
        <v>0</v>
      </c>
      <c r="J22" s="92"/>
      <c r="K22" s="97"/>
      <c r="L22" s="76"/>
      <c r="M22" s="98"/>
      <c r="N22" s="32" t="str">
        <f t="shared" si="4"/>
        <v/>
      </c>
      <c r="O22" s="15" t="str">
        <f t="shared" si="1"/>
        <v/>
      </c>
      <c r="P22" s="15" t="str">
        <f t="shared" si="1"/>
        <v/>
      </c>
      <c r="Q22" s="15" t="str">
        <f t="shared" si="1"/>
        <v/>
      </c>
      <c r="R22" s="15" t="str">
        <f t="shared" si="1"/>
        <v/>
      </c>
      <c r="S22" s="15" t="str">
        <f t="shared" si="1"/>
        <v/>
      </c>
      <c r="T22" s="15" t="str">
        <f t="shared" si="1"/>
        <v/>
      </c>
      <c r="U22" s="15" t="str">
        <f t="shared" si="1"/>
        <v/>
      </c>
      <c r="V22" s="15" t="str">
        <f t="shared" si="1"/>
        <v/>
      </c>
      <c r="W22" s="15" t="str">
        <f t="shared" si="1"/>
        <v/>
      </c>
      <c r="X22" s="15" t="str">
        <f t="shared" si="1"/>
        <v/>
      </c>
      <c r="Y22" s="15" t="str">
        <f t="shared" si="1"/>
        <v/>
      </c>
      <c r="Z22" s="15" t="str">
        <f t="shared" si="1"/>
        <v xml:space="preserve"> </v>
      </c>
      <c r="AA22" s="15" t="str">
        <f t="shared" si="1"/>
        <v/>
      </c>
      <c r="AB22" s="15" t="str">
        <f t="shared" si="1"/>
        <v xml:space="preserve"> </v>
      </c>
      <c r="AC22" s="15" t="str">
        <f t="shared" si="1"/>
        <v/>
      </c>
      <c r="AD22" s="15" t="str">
        <f t="shared" si="1"/>
        <v/>
      </c>
      <c r="AE22" s="15" t="str">
        <f t="shared" si="2"/>
        <v xml:space="preserve"> </v>
      </c>
      <c r="AF22" s="15" t="str">
        <f t="shared" si="2"/>
        <v/>
      </c>
      <c r="AG22" s="15" t="str">
        <f t="shared" si="2"/>
        <v/>
      </c>
      <c r="AH22" s="15" t="str">
        <f t="shared" si="2"/>
        <v/>
      </c>
      <c r="AI22" s="15" t="str">
        <f t="shared" si="2"/>
        <v/>
      </c>
      <c r="AJ22" s="15" t="str">
        <f t="shared" si="2"/>
        <v/>
      </c>
      <c r="AK22" s="15" t="str">
        <f t="shared" si="2"/>
        <v/>
      </c>
      <c r="AL22" s="5" t="str">
        <f t="shared" si="2"/>
        <v/>
      </c>
    </row>
    <row r="23" spans="2:38" s="30" customFormat="1" ht="15.75" x14ac:dyDescent="0.25">
      <c r="B23" s="36">
        <v>14</v>
      </c>
      <c r="C23" s="36">
        <v>16</v>
      </c>
      <c r="D23" s="36">
        <v>19</v>
      </c>
      <c r="E23" s="36"/>
      <c r="F23" s="12">
        <v>14</v>
      </c>
      <c r="G23" s="4">
        <f t="shared" ca="1" si="3"/>
        <v>37</v>
      </c>
      <c r="H23" s="19">
        <f t="shared" ca="1" si="0"/>
        <v>99</v>
      </c>
      <c r="I23" s="69">
        <f t="shared" ca="1" si="0"/>
        <v>0</v>
      </c>
      <c r="J23" s="92"/>
      <c r="K23" s="97"/>
      <c r="L23" s="76"/>
      <c r="M23" s="98"/>
      <c r="N23" s="32" t="str">
        <f t="shared" si="4"/>
        <v/>
      </c>
      <c r="O23" s="15" t="str">
        <f t="shared" si="1"/>
        <v/>
      </c>
      <c r="P23" s="15" t="str">
        <f t="shared" si="1"/>
        <v/>
      </c>
      <c r="Q23" s="15" t="str">
        <f t="shared" si="1"/>
        <v/>
      </c>
      <c r="R23" s="15" t="str">
        <f t="shared" si="1"/>
        <v/>
      </c>
      <c r="S23" s="15" t="str">
        <f t="shared" si="1"/>
        <v/>
      </c>
      <c r="T23" s="15" t="str">
        <f t="shared" si="1"/>
        <v/>
      </c>
      <c r="U23" s="15" t="str">
        <f t="shared" si="1"/>
        <v/>
      </c>
      <c r="V23" s="15" t="str">
        <f t="shared" si="1"/>
        <v/>
      </c>
      <c r="W23" s="15" t="str">
        <f t="shared" si="1"/>
        <v/>
      </c>
      <c r="X23" s="15" t="str">
        <f t="shared" si="1"/>
        <v/>
      </c>
      <c r="Y23" s="15" t="str">
        <f t="shared" si="1"/>
        <v/>
      </c>
      <c r="Z23" s="15" t="str">
        <f t="shared" si="1"/>
        <v/>
      </c>
      <c r="AA23" s="15" t="str">
        <f t="shared" si="1"/>
        <v xml:space="preserve"> </v>
      </c>
      <c r="AB23" s="15" t="str">
        <f t="shared" si="1"/>
        <v/>
      </c>
      <c r="AC23" s="15" t="str">
        <f t="shared" si="1"/>
        <v xml:space="preserve"> </v>
      </c>
      <c r="AD23" s="15" t="str">
        <f t="shared" si="1"/>
        <v/>
      </c>
      <c r="AE23" s="15" t="str">
        <f t="shared" si="2"/>
        <v/>
      </c>
      <c r="AF23" s="15" t="str">
        <f t="shared" si="2"/>
        <v xml:space="preserve"> </v>
      </c>
      <c r="AG23" s="15" t="str">
        <f t="shared" si="2"/>
        <v/>
      </c>
      <c r="AH23" s="15" t="str">
        <f t="shared" si="2"/>
        <v/>
      </c>
      <c r="AI23" s="15" t="str">
        <f t="shared" si="2"/>
        <v/>
      </c>
      <c r="AJ23" s="15" t="str">
        <f t="shared" si="2"/>
        <v/>
      </c>
      <c r="AK23" s="15" t="str">
        <f t="shared" si="2"/>
        <v/>
      </c>
      <c r="AL23" s="5" t="str">
        <f t="shared" si="2"/>
        <v/>
      </c>
    </row>
    <row r="24" spans="2:38" s="30" customFormat="1" ht="15.75" x14ac:dyDescent="0.25">
      <c r="B24" s="36">
        <v>15</v>
      </c>
      <c r="C24" s="36">
        <v>17</v>
      </c>
      <c r="D24" s="36">
        <v>20</v>
      </c>
      <c r="E24" s="36"/>
      <c r="F24" s="12">
        <v>15</v>
      </c>
      <c r="G24" s="4">
        <f t="shared" ca="1" si="3"/>
        <v>49</v>
      </c>
      <c r="H24" s="19">
        <f t="shared" ca="1" si="0"/>
        <v>0</v>
      </c>
      <c r="I24" s="69">
        <f t="shared" ca="1" si="0"/>
        <v>0</v>
      </c>
      <c r="J24" s="92"/>
      <c r="K24" s="97"/>
      <c r="L24" s="76"/>
      <c r="M24" s="98"/>
      <c r="N24" s="32" t="str">
        <f t="shared" si="4"/>
        <v/>
      </c>
      <c r="O24" s="15" t="str">
        <f t="shared" si="1"/>
        <v/>
      </c>
      <c r="P24" s="15" t="str">
        <f t="shared" si="1"/>
        <v/>
      </c>
      <c r="Q24" s="15" t="str">
        <f t="shared" si="1"/>
        <v/>
      </c>
      <c r="R24" s="15" t="str">
        <f t="shared" si="1"/>
        <v/>
      </c>
      <c r="S24" s="15" t="str">
        <f t="shared" si="1"/>
        <v/>
      </c>
      <c r="T24" s="15" t="str">
        <f t="shared" si="1"/>
        <v/>
      </c>
      <c r="U24" s="15" t="str">
        <f t="shared" si="1"/>
        <v/>
      </c>
      <c r="V24" s="15" t="str">
        <f t="shared" si="1"/>
        <v/>
      </c>
      <c r="W24" s="15" t="str">
        <f t="shared" si="1"/>
        <v/>
      </c>
      <c r="X24" s="15" t="str">
        <f t="shared" si="1"/>
        <v/>
      </c>
      <c r="Y24" s="15" t="str">
        <f t="shared" si="1"/>
        <v/>
      </c>
      <c r="Z24" s="15" t="str">
        <f t="shared" si="1"/>
        <v/>
      </c>
      <c r="AA24" s="15" t="str">
        <f t="shared" si="1"/>
        <v/>
      </c>
      <c r="AB24" s="15" t="str">
        <f t="shared" si="1"/>
        <v xml:space="preserve"> </v>
      </c>
      <c r="AC24" s="15" t="str">
        <f t="shared" si="1"/>
        <v/>
      </c>
      <c r="AD24" s="15" t="str">
        <f t="shared" si="1"/>
        <v xml:space="preserve"> </v>
      </c>
      <c r="AE24" s="15" t="str">
        <f t="shared" si="2"/>
        <v/>
      </c>
      <c r="AF24" s="15" t="str">
        <f t="shared" si="2"/>
        <v/>
      </c>
      <c r="AG24" s="15" t="str">
        <f t="shared" si="2"/>
        <v xml:space="preserve"> </v>
      </c>
      <c r="AH24" s="15" t="str">
        <f t="shared" si="2"/>
        <v/>
      </c>
      <c r="AI24" s="15" t="str">
        <f t="shared" si="2"/>
        <v/>
      </c>
      <c r="AJ24" s="15" t="str">
        <f t="shared" si="2"/>
        <v/>
      </c>
      <c r="AK24" s="15" t="str">
        <f t="shared" si="2"/>
        <v/>
      </c>
      <c r="AL24" s="5" t="str">
        <f t="shared" si="2"/>
        <v/>
      </c>
    </row>
    <row r="25" spans="2:38" s="30" customFormat="1" ht="15.75" x14ac:dyDescent="0.25">
      <c r="B25" s="36">
        <v>16</v>
      </c>
      <c r="C25" s="36">
        <v>18</v>
      </c>
      <c r="D25" s="36">
        <v>21</v>
      </c>
      <c r="E25" s="36"/>
      <c r="F25" s="12">
        <v>16</v>
      </c>
      <c r="G25" s="4">
        <f t="shared" ca="1" si="3"/>
        <v>99</v>
      </c>
      <c r="H25" s="19">
        <f t="shared" ca="1" si="0"/>
        <v>0</v>
      </c>
      <c r="I25" s="69">
        <f t="shared" ca="1" si="0"/>
        <v>0</v>
      </c>
      <c r="J25" s="92"/>
      <c r="K25" s="97"/>
      <c r="L25" s="76"/>
      <c r="M25" s="98"/>
      <c r="N25" s="32" t="str">
        <f t="shared" si="4"/>
        <v/>
      </c>
      <c r="O25" s="15" t="str">
        <f t="shared" si="1"/>
        <v/>
      </c>
      <c r="P25" s="15" t="str">
        <f t="shared" si="1"/>
        <v/>
      </c>
      <c r="Q25" s="15" t="str">
        <f t="shared" si="1"/>
        <v/>
      </c>
      <c r="R25" s="15" t="str">
        <f t="shared" si="1"/>
        <v/>
      </c>
      <c r="S25" s="15" t="str">
        <f t="shared" si="1"/>
        <v/>
      </c>
      <c r="T25" s="15" t="str">
        <f t="shared" si="1"/>
        <v/>
      </c>
      <c r="U25" s="15" t="str">
        <f t="shared" si="1"/>
        <v/>
      </c>
      <c r="V25" s="15" t="str">
        <f t="shared" si="1"/>
        <v/>
      </c>
      <c r="W25" s="15" t="str">
        <f t="shared" si="1"/>
        <v/>
      </c>
      <c r="X25" s="15" t="str">
        <f t="shared" si="1"/>
        <v/>
      </c>
      <c r="Y25" s="15" t="str">
        <f t="shared" si="1"/>
        <v/>
      </c>
      <c r="Z25" s="15" t="str">
        <f t="shared" si="1"/>
        <v/>
      </c>
      <c r="AA25" s="15" t="str">
        <f t="shared" si="1"/>
        <v/>
      </c>
      <c r="AB25" s="15" t="str">
        <f t="shared" si="1"/>
        <v/>
      </c>
      <c r="AC25" s="15" t="str">
        <f t="shared" si="1"/>
        <v xml:space="preserve"> </v>
      </c>
      <c r="AD25" s="15" t="str">
        <f t="shared" ref="AD25:AL34" si="5">IF(ISNA(MATCH(COLUMN()-13,$B25:$E25,0)),"",IF($K25=MATCH(COLUMN()-13,$B25:$E25,0),3,IF($L25=MATCH(COLUMN()-13,$B25:$E25,0),2,IF($M25=MATCH(COLUMN()-13,$B25:$E25,0),1," "))))</f>
        <v/>
      </c>
      <c r="AE25" s="15" t="str">
        <f t="shared" si="5"/>
        <v xml:space="preserve"> </v>
      </c>
      <c r="AF25" s="15" t="str">
        <f t="shared" si="5"/>
        <v/>
      </c>
      <c r="AG25" s="15" t="str">
        <f t="shared" si="5"/>
        <v/>
      </c>
      <c r="AH25" s="15" t="str">
        <f t="shared" si="5"/>
        <v xml:space="preserve"> </v>
      </c>
      <c r="AI25" s="15" t="str">
        <f t="shared" si="5"/>
        <v/>
      </c>
      <c r="AJ25" s="15" t="str">
        <f t="shared" si="5"/>
        <v/>
      </c>
      <c r="AK25" s="15" t="str">
        <f t="shared" si="5"/>
        <v/>
      </c>
      <c r="AL25" s="5" t="str">
        <f t="shared" si="5"/>
        <v/>
      </c>
    </row>
    <row r="26" spans="2:38" s="30" customFormat="1" ht="15.75" x14ac:dyDescent="0.25">
      <c r="B26" s="36">
        <v>17</v>
      </c>
      <c r="C26" s="36">
        <v>19</v>
      </c>
      <c r="D26" s="36">
        <v>22</v>
      </c>
      <c r="E26" s="36"/>
      <c r="F26" s="12">
        <v>17</v>
      </c>
      <c r="G26" s="4">
        <f t="shared" ca="1" si="3"/>
        <v>0</v>
      </c>
      <c r="H26" s="19">
        <f t="shared" ca="1" si="3"/>
        <v>0</v>
      </c>
      <c r="I26" s="69">
        <f t="shared" ca="1" si="3"/>
        <v>0</v>
      </c>
      <c r="J26" s="92"/>
      <c r="K26" s="97"/>
      <c r="L26" s="76"/>
      <c r="M26" s="98"/>
      <c r="N26" s="32" t="str">
        <f t="shared" si="4"/>
        <v/>
      </c>
      <c r="O26" s="15" t="str">
        <f t="shared" si="4"/>
        <v/>
      </c>
      <c r="P26" s="15" t="str">
        <f t="shared" si="4"/>
        <v/>
      </c>
      <c r="Q26" s="15" t="str">
        <f t="shared" si="4"/>
        <v/>
      </c>
      <c r="R26" s="15" t="str">
        <f t="shared" si="4"/>
        <v/>
      </c>
      <c r="S26" s="15" t="str">
        <f t="shared" si="4"/>
        <v/>
      </c>
      <c r="T26" s="15" t="str">
        <f t="shared" si="4"/>
        <v/>
      </c>
      <c r="U26" s="15" t="str">
        <f t="shared" si="4"/>
        <v/>
      </c>
      <c r="V26" s="15" t="str">
        <f t="shared" si="4"/>
        <v/>
      </c>
      <c r="W26" s="15" t="str">
        <f t="shared" si="4"/>
        <v/>
      </c>
      <c r="X26" s="15" t="str">
        <f t="shared" si="4"/>
        <v/>
      </c>
      <c r="Y26" s="15" t="str">
        <f t="shared" si="4"/>
        <v/>
      </c>
      <c r="Z26" s="15" t="str">
        <f t="shared" si="4"/>
        <v/>
      </c>
      <c r="AA26" s="15" t="str">
        <f t="shared" si="4"/>
        <v/>
      </c>
      <c r="AB26" s="15" t="str">
        <f t="shared" si="4"/>
        <v/>
      </c>
      <c r="AC26" s="15" t="str">
        <f t="shared" si="4"/>
        <v/>
      </c>
      <c r="AD26" s="15" t="str">
        <f t="shared" si="5"/>
        <v xml:space="preserve"> </v>
      </c>
      <c r="AE26" s="15" t="str">
        <f t="shared" si="5"/>
        <v/>
      </c>
      <c r="AF26" s="15" t="str">
        <f t="shared" si="5"/>
        <v xml:space="preserve"> </v>
      </c>
      <c r="AG26" s="15" t="str">
        <f t="shared" si="5"/>
        <v/>
      </c>
      <c r="AH26" s="15" t="str">
        <f t="shared" si="5"/>
        <v/>
      </c>
      <c r="AI26" s="15" t="str">
        <f t="shared" si="5"/>
        <v xml:space="preserve"> </v>
      </c>
      <c r="AJ26" s="15" t="str">
        <f t="shared" si="5"/>
        <v/>
      </c>
      <c r="AK26" s="15" t="str">
        <f t="shared" si="5"/>
        <v/>
      </c>
      <c r="AL26" s="5" t="str">
        <f t="shared" si="5"/>
        <v/>
      </c>
    </row>
    <row r="27" spans="2:38" s="30" customFormat="1" ht="15.75" x14ac:dyDescent="0.25">
      <c r="B27" s="36">
        <v>18</v>
      </c>
      <c r="C27" s="36">
        <v>20</v>
      </c>
      <c r="D27" s="36">
        <v>23</v>
      </c>
      <c r="E27" s="36"/>
      <c r="F27" s="12">
        <v>18</v>
      </c>
      <c r="G27" s="4">
        <f t="shared" ref="G27:I34" ca="1" si="6">INDIRECT(ADDRESS(B27+1,1,,,"Names"))</f>
        <v>0</v>
      </c>
      <c r="H27" s="19">
        <f t="shared" ca="1" si="6"/>
        <v>0</v>
      </c>
      <c r="I27" s="69">
        <f t="shared" ca="1" si="6"/>
        <v>0</v>
      </c>
      <c r="J27" s="92"/>
      <c r="K27" s="97"/>
      <c r="L27" s="76"/>
      <c r="M27" s="98"/>
      <c r="N27" s="32" t="str">
        <f t="shared" si="4"/>
        <v/>
      </c>
      <c r="O27" s="15" t="str">
        <f t="shared" si="4"/>
        <v/>
      </c>
      <c r="P27" s="15" t="str">
        <f t="shared" si="4"/>
        <v/>
      </c>
      <c r="Q27" s="15" t="str">
        <f t="shared" si="4"/>
        <v/>
      </c>
      <c r="R27" s="15" t="str">
        <f t="shared" si="4"/>
        <v/>
      </c>
      <c r="S27" s="15" t="str">
        <f t="shared" si="4"/>
        <v/>
      </c>
      <c r="T27" s="15" t="str">
        <f t="shared" si="4"/>
        <v/>
      </c>
      <c r="U27" s="15" t="str">
        <f t="shared" si="4"/>
        <v/>
      </c>
      <c r="V27" s="15" t="str">
        <f t="shared" si="4"/>
        <v/>
      </c>
      <c r="W27" s="15" t="str">
        <f t="shared" si="4"/>
        <v/>
      </c>
      <c r="X27" s="15" t="str">
        <f t="shared" si="4"/>
        <v/>
      </c>
      <c r="Y27" s="15" t="str">
        <f t="shared" si="4"/>
        <v/>
      </c>
      <c r="Z27" s="15" t="str">
        <f t="shared" si="4"/>
        <v/>
      </c>
      <c r="AA27" s="15" t="str">
        <f t="shared" si="4"/>
        <v/>
      </c>
      <c r="AB27" s="15" t="str">
        <f t="shared" si="4"/>
        <v/>
      </c>
      <c r="AC27" s="15" t="str">
        <f t="shared" si="4"/>
        <v/>
      </c>
      <c r="AD27" s="15" t="str">
        <f t="shared" si="5"/>
        <v/>
      </c>
      <c r="AE27" s="15" t="str">
        <f t="shared" si="5"/>
        <v xml:space="preserve"> </v>
      </c>
      <c r="AF27" s="15" t="str">
        <f t="shared" si="5"/>
        <v/>
      </c>
      <c r="AG27" s="15" t="str">
        <f t="shared" si="5"/>
        <v xml:space="preserve"> </v>
      </c>
      <c r="AH27" s="15" t="str">
        <f t="shared" si="5"/>
        <v/>
      </c>
      <c r="AI27" s="15" t="str">
        <f t="shared" si="5"/>
        <v/>
      </c>
      <c r="AJ27" s="15" t="str">
        <f t="shared" si="5"/>
        <v xml:space="preserve"> </v>
      </c>
      <c r="AK27" s="15" t="str">
        <f t="shared" si="5"/>
        <v/>
      </c>
      <c r="AL27" s="5" t="str">
        <f t="shared" si="5"/>
        <v/>
      </c>
    </row>
    <row r="28" spans="2:38" s="30" customFormat="1" ht="15.75" x14ac:dyDescent="0.25">
      <c r="B28" s="36">
        <v>19</v>
      </c>
      <c r="C28" s="36">
        <v>21</v>
      </c>
      <c r="D28" s="36">
        <v>24</v>
      </c>
      <c r="E28" s="36"/>
      <c r="F28" s="12">
        <v>19</v>
      </c>
      <c r="G28" s="4">
        <f t="shared" ca="1" si="6"/>
        <v>0</v>
      </c>
      <c r="H28" s="19">
        <f t="shared" ca="1" si="6"/>
        <v>0</v>
      </c>
      <c r="I28" s="69">
        <f t="shared" ca="1" si="6"/>
        <v>0</v>
      </c>
      <c r="J28" s="92"/>
      <c r="K28" s="97"/>
      <c r="L28" s="76"/>
      <c r="M28" s="98"/>
      <c r="N28" s="32" t="str">
        <f t="shared" si="4"/>
        <v/>
      </c>
      <c r="O28" s="15" t="str">
        <f t="shared" si="4"/>
        <v/>
      </c>
      <c r="P28" s="15" t="str">
        <f t="shared" si="4"/>
        <v/>
      </c>
      <c r="Q28" s="15" t="str">
        <f t="shared" si="4"/>
        <v/>
      </c>
      <c r="R28" s="15" t="str">
        <f t="shared" si="4"/>
        <v/>
      </c>
      <c r="S28" s="15" t="str">
        <f t="shared" si="4"/>
        <v/>
      </c>
      <c r="T28" s="15" t="str">
        <f t="shared" si="4"/>
        <v/>
      </c>
      <c r="U28" s="15" t="str">
        <f t="shared" si="4"/>
        <v/>
      </c>
      <c r="V28" s="15" t="str">
        <f t="shared" si="4"/>
        <v/>
      </c>
      <c r="W28" s="15" t="str">
        <f t="shared" si="4"/>
        <v/>
      </c>
      <c r="X28" s="15" t="str">
        <f t="shared" si="4"/>
        <v/>
      </c>
      <c r="Y28" s="15" t="str">
        <f t="shared" si="4"/>
        <v/>
      </c>
      <c r="Z28" s="15" t="str">
        <f t="shared" si="4"/>
        <v/>
      </c>
      <c r="AA28" s="15" t="str">
        <f t="shared" si="4"/>
        <v/>
      </c>
      <c r="AB28" s="15" t="str">
        <f t="shared" si="4"/>
        <v/>
      </c>
      <c r="AC28" s="15" t="str">
        <f t="shared" si="4"/>
        <v/>
      </c>
      <c r="AD28" s="15" t="str">
        <f t="shared" si="5"/>
        <v/>
      </c>
      <c r="AE28" s="15" t="str">
        <f t="shared" si="5"/>
        <v/>
      </c>
      <c r="AF28" s="15" t="str">
        <f t="shared" si="5"/>
        <v xml:space="preserve"> </v>
      </c>
      <c r="AG28" s="15" t="str">
        <f t="shared" si="5"/>
        <v/>
      </c>
      <c r="AH28" s="15" t="str">
        <f t="shared" si="5"/>
        <v xml:space="preserve"> </v>
      </c>
      <c r="AI28" s="15" t="str">
        <f t="shared" si="5"/>
        <v/>
      </c>
      <c r="AJ28" s="15" t="str">
        <f t="shared" si="5"/>
        <v/>
      </c>
      <c r="AK28" s="15" t="str">
        <f t="shared" si="5"/>
        <v xml:space="preserve"> </v>
      </c>
      <c r="AL28" s="5" t="str">
        <f t="shared" si="5"/>
        <v/>
      </c>
    </row>
    <row r="29" spans="2:38" s="30" customFormat="1" ht="16.5" thickBot="1" x14ac:dyDescent="0.3">
      <c r="B29" s="36">
        <v>20</v>
      </c>
      <c r="C29" s="36">
        <v>22</v>
      </c>
      <c r="D29" s="36">
        <v>25</v>
      </c>
      <c r="E29" s="36"/>
      <c r="F29" s="12">
        <v>20</v>
      </c>
      <c r="G29" s="4">
        <f t="shared" ca="1" si="6"/>
        <v>0</v>
      </c>
      <c r="H29" s="19">
        <f t="shared" ca="1" si="6"/>
        <v>0</v>
      </c>
      <c r="I29" s="69">
        <f t="shared" ca="1" si="6"/>
        <v>0</v>
      </c>
      <c r="J29" s="93"/>
      <c r="K29" s="97"/>
      <c r="L29" s="76"/>
      <c r="M29" s="98"/>
      <c r="N29" s="32" t="str">
        <f t="shared" si="4"/>
        <v/>
      </c>
      <c r="O29" s="15" t="str">
        <f t="shared" si="4"/>
        <v/>
      </c>
      <c r="P29" s="15" t="str">
        <f t="shared" si="4"/>
        <v/>
      </c>
      <c r="Q29" s="15" t="str">
        <f t="shared" si="4"/>
        <v/>
      </c>
      <c r="R29" s="15" t="str">
        <f t="shared" si="4"/>
        <v/>
      </c>
      <c r="S29" s="15" t="str">
        <f t="shared" si="4"/>
        <v/>
      </c>
      <c r="T29" s="15" t="str">
        <f t="shared" si="4"/>
        <v/>
      </c>
      <c r="U29" s="15" t="str">
        <f t="shared" si="4"/>
        <v/>
      </c>
      <c r="V29" s="15" t="str">
        <f t="shared" si="4"/>
        <v/>
      </c>
      <c r="W29" s="15" t="str">
        <f t="shared" si="4"/>
        <v/>
      </c>
      <c r="X29" s="15" t="str">
        <f t="shared" si="4"/>
        <v/>
      </c>
      <c r="Y29" s="15" t="str">
        <f t="shared" si="4"/>
        <v/>
      </c>
      <c r="Z29" s="15" t="str">
        <f t="shared" si="4"/>
        <v/>
      </c>
      <c r="AA29" s="15" t="str">
        <f t="shared" si="4"/>
        <v/>
      </c>
      <c r="AB29" s="15" t="str">
        <f t="shared" si="4"/>
        <v/>
      </c>
      <c r="AC29" s="15" t="str">
        <f t="shared" si="4"/>
        <v/>
      </c>
      <c r="AD29" s="15" t="str">
        <f t="shared" si="5"/>
        <v/>
      </c>
      <c r="AE29" s="15" t="str">
        <f t="shared" si="5"/>
        <v/>
      </c>
      <c r="AF29" s="15" t="str">
        <f t="shared" si="5"/>
        <v/>
      </c>
      <c r="AG29" s="15" t="str">
        <f t="shared" si="5"/>
        <v xml:space="preserve"> </v>
      </c>
      <c r="AH29" s="15" t="str">
        <f t="shared" si="5"/>
        <v/>
      </c>
      <c r="AI29" s="15" t="str">
        <f t="shared" si="5"/>
        <v xml:space="preserve"> </v>
      </c>
      <c r="AJ29" s="15" t="str">
        <f t="shared" si="5"/>
        <v/>
      </c>
      <c r="AK29" s="15" t="str">
        <f t="shared" si="5"/>
        <v/>
      </c>
      <c r="AL29" s="5" t="str">
        <f t="shared" si="5"/>
        <v xml:space="preserve"> </v>
      </c>
    </row>
    <row r="30" spans="2:38" s="30" customFormat="1" ht="15.75" x14ac:dyDescent="0.25">
      <c r="B30" s="36">
        <v>21</v>
      </c>
      <c r="C30" s="36">
        <v>23</v>
      </c>
      <c r="D30" s="36">
        <v>1</v>
      </c>
      <c r="E30" s="36"/>
      <c r="F30" s="12">
        <v>21</v>
      </c>
      <c r="G30" s="4">
        <f t="shared" ca="1" si="6"/>
        <v>0</v>
      </c>
      <c r="H30" s="19">
        <f t="shared" ca="1" si="6"/>
        <v>0</v>
      </c>
      <c r="I30" s="69">
        <f t="shared" ca="1" si="6"/>
        <v>1</v>
      </c>
      <c r="J30" s="114"/>
      <c r="K30" s="97"/>
      <c r="L30" s="76"/>
      <c r="M30" s="98"/>
      <c r="N30" s="32" t="str">
        <f t="shared" si="4"/>
        <v xml:space="preserve"> </v>
      </c>
      <c r="O30" s="15" t="str">
        <f t="shared" si="4"/>
        <v/>
      </c>
      <c r="P30" s="15" t="str">
        <f t="shared" si="4"/>
        <v/>
      </c>
      <c r="Q30" s="15" t="str">
        <f t="shared" si="4"/>
        <v/>
      </c>
      <c r="R30" s="15" t="str">
        <f t="shared" si="4"/>
        <v/>
      </c>
      <c r="S30" s="15" t="str">
        <f t="shared" si="4"/>
        <v/>
      </c>
      <c r="T30" s="15" t="str">
        <f t="shared" si="4"/>
        <v/>
      </c>
      <c r="U30" s="15" t="str">
        <f t="shared" si="4"/>
        <v/>
      </c>
      <c r="V30" s="15" t="str">
        <f t="shared" si="4"/>
        <v/>
      </c>
      <c r="W30" s="15" t="str">
        <f t="shared" si="4"/>
        <v/>
      </c>
      <c r="X30" s="15" t="str">
        <f t="shared" si="4"/>
        <v/>
      </c>
      <c r="Y30" s="15" t="str">
        <f t="shared" si="4"/>
        <v/>
      </c>
      <c r="Z30" s="15" t="str">
        <f t="shared" si="4"/>
        <v/>
      </c>
      <c r="AA30" s="15" t="str">
        <f t="shared" si="4"/>
        <v/>
      </c>
      <c r="AB30" s="15" t="str">
        <f t="shared" si="4"/>
        <v/>
      </c>
      <c r="AC30" s="15" t="str">
        <f t="shared" si="4"/>
        <v/>
      </c>
      <c r="AD30" s="15" t="str">
        <f t="shared" si="5"/>
        <v/>
      </c>
      <c r="AE30" s="15" t="str">
        <f t="shared" si="5"/>
        <v/>
      </c>
      <c r="AF30" s="15" t="str">
        <f t="shared" si="5"/>
        <v/>
      </c>
      <c r="AG30" s="15" t="str">
        <f t="shared" si="5"/>
        <v/>
      </c>
      <c r="AH30" s="15" t="str">
        <f t="shared" si="5"/>
        <v xml:space="preserve"> </v>
      </c>
      <c r="AI30" s="15" t="str">
        <f t="shared" si="5"/>
        <v/>
      </c>
      <c r="AJ30" s="15" t="str">
        <f t="shared" si="5"/>
        <v xml:space="preserve"> </v>
      </c>
      <c r="AK30" s="15" t="str">
        <f t="shared" si="5"/>
        <v/>
      </c>
      <c r="AL30" s="5" t="str">
        <f t="shared" si="5"/>
        <v/>
      </c>
    </row>
    <row r="31" spans="2:38" s="30" customFormat="1" ht="15.75" x14ac:dyDescent="0.25">
      <c r="B31" s="36">
        <v>22</v>
      </c>
      <c r="C31" s="36">
        <v>24</v>
      </c>
      <c r="D31" s="36">
        <v>2</v>
      </c>
      <c r="E31" s="36"/>
      <c r="F31" s="12">
        <v>22</v>
      </c>
      <c r="G31" s="4">
        <f t="shared" ca="1" si="6"/>
        <v>0</v>
      </c>
      <c r="H31" s="19">
        <f t="shared" ca="1" si="6"/>
        <v>0</v>
      </c>
      <c r="I31" s="69">
        <f t="shared" ca="1" si="6"/>
        <v>2</v>
      </c>
      <c r="J31" s="114"/>
      <c r="K31" s="97"/>
      <c r="L31" s="76"/>
      <c r="M31" s="98"/>
      <c r="N31" s="32" t="str">
        <f t="shared" si="4"/>
        <v/>
      </c>
      <c r="O31" s="15" t="str">
        <f t="shared" si="4"/>
        <v xml:space="preserve"> </v>
      </c>
      <c r="P31" s="15" t="str">
        <f t="shared" si="4"/>
        <v/>
      </c>
      <c r="Q31" s="15" t="str">
        <f t="shared" si="4"/>
        <v/>
      </c>
      <c r="R31" s="15" t="str">
        <f t="shared" si="4"/>
        <v/>
      </c>
      <c r="S31" s="15" t="str">
        <f t="shared" si="4"/>
        <v/>
      </c>
      <c r="T31" s="15" t="str">
        <f t="shared" si="4"/>
        <v/>
      </c>
      <c r="U31" s="15" t="str">
        <f t="shared" si="4"/>
        <v/>
      </c>
      <c r="V31" s="15" t="str">
        <f t="shared" si="4"/>
        <v/>
      </c>
      <c r="W31" s="15" t="str">
        <f t="shared" si="4"/>
        <v/>
      </c>
      <c r="X31" s="15" t="str">
        <f t="shared" si="4"/>
        <v/>
      </c>
      <c r="Y31" s="15" t="str">
        <f t="shared" si="4"/>
        <v/>
      </c>
      <c r="Z31" s="15" t="str">
        <f t="shared" si="4"/>
        <v/>
      </c>
      <c r="AA31" s="15" t="str">
        <f t="shared" si="4"/>
        <v/>
      </c>
      <c r="AB31" s="15" t="str">
        <f t="shared" si="4"/>
        <v/>
      </c>
      <c r="AC31" s="15" t="str">
        <f t="shared" si="4"/>
        <v/>
      </c>
      <c r="AD31" s="15" t="str">
        <f t="shared" si="5"/>
        <v/>
      </c>
      <c r="AE31" s="15" t="str">
        <f t="shared" si="5"/>
        <v/>
      </c>
      <c r="AF31" s="15" t="str">
        <f t="shared" si="5"/>
        <v/>
      </c>
      <c r="AG31" s="15" t="str">
        <f t="shared" si="5"/>
        <v/>
      </c>
      <c r="AH31" s="15" t="str">
        <f t="shared" si="5"/>
        <v/>
      </c>
      <c r="AI31" s="15" t="str">
        <f t="shared" si="5"/>
        <v xml:space="preserve"> </v>
      </c>
      <c r="AJ31" s="15" t="str">
        <f t="shared" si="5"/>
        <v/>
      </c>
      <c r="AK31" s="15" t="str">
        <f t="shared" si="5"/>
        <v xml:space="preserve"> </v>
      </c>
      <c r="AL31" s="5" t="str">
        <f t="shared" si="5"/>
        <v/>
      </c>
    </row>
    <row r="32" spans="2:38" s="30" customFormat="1" ht="15.75" x14ac:dyDescent="0.25">
      <c r="B32" s="36">
        <v>23</v>
      </c>
      <c r="C32" s="36">
        <v>25</v>
      </c>
      <c r="D32" s="36">
        <v>3</v>
      </c>
      <c r="E32" s="36"/>
      <c r="F32" s="12">
        <v>23</v>
      </c>
      <c r="G32" s="4">
        <f t="shared" ca="1" si="6"/>
        <v>0</v>
      </c>
      <c r="H32" s="19">
        <f t="shared" ca="1" si="6"/>
        <v>0</v>
      </c>
      <c r="I32" s="69">
        <f t="shared" ca="1" si="6"/>
        <v>3</v>
      </c>
      <c r="J32" s="114"/>
      <c r="K32" s="97"/>
      <c r="L32" s="76"/>
      <c r="M32" s="98"/>
      <c r="N32" s="32" t="str">
        <f t="shared" si="4"/>
        <v/>
      </c>
      <c r="O32" s="15" t="str">
        <f t="shared" si="4"/>
        <v/>
      </c>
      <c r="P32" s="15" t="str">
        <f t="shared" si="4"/>
        <v xml:space="preserve"> </v>
      </c>
      <c r="Q32" s="15" t="str">
        <f t="shared" si="4"/>
        <v/>
      </c>
      <c r="R32" s="15" t="str">
        <f t="shared" si="4"/>
        <v/>
      </c>
      <c r="S32" s="15" t="str">
        <f t="shared" si="4"/>
        <v/>
      </c>
      <c r="T32" s="15" t="str">
        <f t="shared" si="4"/>
        <v/>
      </c>
      <c r="U32" s="15" t="str">
        <f t="shared" si="4"/>
        <v/>
      </c>
      <c r="V32" s="15" t="str">
        <f t="shared" si="4"/>
        <v/>
      </c>
      <c r="W32" s="15" t="str">
        <f t="shared" si="4"/>
        <v/>
      </c>
      <c r="X32" s="15" t="str">
        <f t="shared" si="4"/>
        <v/>
      </c>
      <c r="Y32" s="15" t="str">
        <f t="shared" si="4"/>
        <v/>
      </c>
      <c r="Z32" s="15" t="str">
        <f t="shared" si="4"/>
        <v/>
      </c>
      <c r="AA32" s="15" t="str">
        <f t="shared" si="4"/>
        <v/>
      </c>
      <c r="AB32" s="15" t="str">
        <f t="shared" si="4"/>
        <v/>
      </c>
      <c r="AC32" s="15" t="str">
        <f t="shared" si="4"/>
        <v/>
      </c>
      <c r="AD32" s="15" t="str">
        <f t="shared" si="5"/>
        <v/>
      </c>
      <c r="AE32" s="15" t="str">
        <f t="shared" si="5"/>
        <v/>
      </c>
      <c r="AF32" s="15" t="str">
        <f t="shared" si="5"/>
        <v/>
      </c>
      <c r="AG32" s="15" t="str">
        <f t="shared" si="5"/>
        <v/>
      </c>
      <c r="AH32" s="15" t="str">
        <f t="shared" si="5"/>
        <v/>
      </c>
      <c r="AI32" s="15" t="str">
        <f t="shared" si="5"/>
        <v/>
      </c>
      <c r="AJ32" s="15" t="str">
        <f t="shared" si="5"/>
        <v xml:space="preserve"> </v>
      </c>
      <c r="AK32" s="15" t="str">
        <f t="shared" si="5"/>
        <v/>
      </c>
      <c r="AL32" s="5" t="str">
        <f t="shared" si="5"/>
        <v xml:space="preserve"> </v>
      </c>
    </row>
    <row r="33" spans="2:38" s="30" customFormat="1" ht="15.75" x14ac:dyDescent="0.25">
      <c r="B33" s="36">
        <v>24</v>
      </c>
      <c r="C33" s="36">
        <v>1</v>
      </c>
      <c r="D33" s="36">
        <v>4</v>
      </c>
      <c r="E33" s="36"/>
      <c r="F33" s="12">
        <v>24</v>
      </c>
      <c r="G33" s="4">
        <f t="shared" ca="1" si="6"/>
        <v>0</v>
      </c>
      <c r="H33" s="19">
        <f t="shared" ca="1" si="6"/>
        <v>1</v>
      </c>
      <c r="I33" s="69">
        <f t="shared" ca="1" si="6"/>
        <v>4</v>
      </c>
      <c r="J33" s="114"/>
      <c r="K33" s="97"/>
      <c r="L33" s="76"/>
      <c r="M33" s="98"/>
      <c r="N33" s="32" t="str">
        <f t="shared" si="4"/>
        <v xml:space="preserve"> </v>
      </c>
      <c r="O33" s="15" t="str">
        <f t="shared" si="4"/>
        <v/>
      </c>
      <c r="P33" s="15" t="str">
        <f t="shared" si="4"/>
        <v/>
      </c>
      <c r="Q33" s="15" t="str">
        <f t="shared" si="4"/>
        <v xml:space="preserve"> </v>
      </c>
      <c r="R33" s="15" t="str">
        <f t="shared" si="4"/>
        <v/>
      </c>
      <c r="S33" s="15" t="str">
        <f t="shared" si="4"/>
        <v/>
      </c>
      <c r="T33" s="15" t="str">
        <f t="shared" si="4"/>
        <v/>
      </c>
      <c r="U33" s="15" t="str">
        <f t="shared" si="4"/>
        <v/>
      </c>
      <c r="V33" s="15" t="str">
        <f t="shared" si="4"/>
        <v/>
      </c>
      <c r="W33" s="15" t="str">
        <f t="shared" si="4"/>
        <v/>
      </c>
      <c r="X33" s="15" t="str">
        <f t="shared" si="4"/>
        <v/>
      </c>
      <c r="Y33" s="15" t="str">
        <f t="shared" si="4"/>
        <v/>
      </c>
      <c r="Z33" s="15" t="str">
        <f t="shared" si="4"/>
        <v/>
      </c>
      <c r="AA33" s="15" t="str">
        <f t="shared" si="4"/>
        <v/>
      </c>
      <c r="AB33" s="15" t="str">
        <f t="shared" si="4"/>
        <v/>
      </c>
      <c r="AC33" s="15" t="str">
        <f t="shared" si="4"/>
        <v/>
      </c>
      <c r="AD33" s="15" t="str">
        <f t="shared" si="5"/>
        <v/>
      </c>
      <c r="AE33" s="15" t="str">
        <f t="shared" si="5"/>
        <v/>
      </c>
      <c r="AF33" s="15" t="str">
        <f t="shared" si="5"/>
        <v/>
      </c>
      <c r="AG33" s="118" t="str">
        <f t="shared" si="5"/>
        <v/>
      </c>
      <c r="AH33" s="118" t="str">
        <f t="shared" si="5"/>
        <v/>
      </c>
      <c r="AI33" s="118" t="str">
        <f t="shared" si="5"/>
        <v/>
      </c>
      <c r="AJ33" s="118" t="str">
        <f t="shared" si="5"/>
        <v/>
      </c>
      <c r="AK33" s="118" t="str">
        <f t="shared" si="5"/>
        <v xml:space="preserve"> </v>
      </c>
      <c r="AL33" s="5" t="str">
        <f t="shared" si="5"/>
        <v/>
      </c>
    </row>
    <row r="34" spans="2:38" s="30" customFormat="1" ht="16.5" thickBot="1" x14ac:dyDescent="0.3">
      <c r="B34" s="36">
        <v>25</v>
      </c>
      <c r="C34" s="36">
        <v>2</v>
      </c>
      <c r="D34" s="36">
        <v>5</v>
      </c>
      <c r="E34" s="36"/>
      <c r="F34" s="74">
        <v>25</v>
      </c>
      <c r="G34" s="6">
        <f t="shared" ca="1" si="6"/>
        <v>0</v>
      </c>
      <c r="H34" s="39">
        <f t="shared" ca="1" si="6"/>
        <v>2</v>
      </c>
      <c r="I34" s="40">
        <f t="shared" ca="1" si="6"/>
        <v>5</v>
      </c>
      <c r="J34" s="114"/>
      <c r="K34" s="115"/>
      <c r="L34" s="95"/>
      <c r="M34" s="116"/>
      <c r="N34" s="117" t="str">
        <f t="shared" si="4"/>
        <v/>
      </c>
      <c r="O34" s="118" t="str">
        <f t="shared" si="4"/>
        <v xml:space="preserve"> </v>
      </c>
      <c r="P34" s="118" t="str">
        <f t="shared" si="4"/>
        <v/>
      </c>
      <c r="Q34" s="118" t="str">
        <f t="shared" si="4"/>
        <v/>
      </c>
      <c r="R34" s="118" t="str">
        <f t="shared" si="4"/>
        <v xml:space="preserve"> </v>
      </c>
      <c r="S34" s="118" t="str">
        <f t="shared" si="4"/>
        <v/>
      </c>
      <c r="T34" s="118" t="str">
        <f t="shared" si="4"/>
        <v/>
      </c>
      <c r="U34" s="118" t="str">
        <f t="shared" si="4"/>
        <v/>
      </c>
      <c r="V34" s="118" t="str">
        <f t="shared" si="4"/>
        <v/>
      </c>
      <c r="W34" s="118" t="str">
        <f t="shared" si="4"/>
        <v/>
      </c>
      <c r="X34" s="118" t="str">
        <f t="shared" si="4"/>
        <v/>
      </c>
      <c r="Y34" s="118" t="str">
        <f t="shared" si="4"/>
        <v/>
      </c>
      <c r="Z34" s="118" t="str">
        <f t="shared" si="4"/>
        <v/>
      </c>
      <c r="AA34" s="118" t="str">
        <f t="shared" si="4"/>
        <v/>
      </c>
      <c r="AB34" s="118" t="str">
        <f t="shared" si="4"/>
        <v/>
      </c>
      <c r="AC34" s="118" t="str">
        <f t="shared" si="4"/>
        <v/>
      </c>
      <c r="AD34" s="118" t="str">
        <f t="shared" si="5"/>
        <v/>
      </c>
      <c r="AE34" s="118" t="str">
        <f t="shared" si="5"/>
        <v/>
      </c>
      <c r="AF34" s="118" t="str">
        <f t="shared" si="5"/>
        <v/>
      </c>
      <c r="AG34" s="15" t="str">
        <f t="shared" si="5"/>
        <v/>
      </c>
      <c r="AH34" s="15" t="str">
        <f t="shared" si="5"/>
        <v/>
      </c>
      <c r="AI34" s="15" t="str">
        <f t="shared" si="5"/>
        <v/>
      </c>
      <c r="AJ34" s="15" t="str">
        <f t="shared" si="5"/>
        <v/>
      </c>
      <c r="AK34" s="15" t="str">
        <f t="shared" si="5"/>
        <v/>
      </c>
      <c r="AL34" s="119" t="str">
        <f t="shared" si="5"/>
        <v xml:space="preserve"> </v>
      </c>
    </row>
    <row r="35" spans="2:38" ht="15.75" x14ac:dyDescent="0.25">
      <c r="K35" s="151" t="s">
        <v>4</v>
      </c>
      <c r="L35" s="152"/>
      <c r="M35" s="153"/>
      <c r="N35" s="112" t="str">
        <f t="shared" ref="N35:AG35" si="7">IF(SUM(N10:N29)&lt;1," ",SUM(N10:N29))</f>
        <v xml:space="preserve"> </v>
      </c>
      <c r="O35" s="45" t="str">
        <f t="shared" si="7"/>
        <v xml:space="preserve"> </v>
      </c>
      <c r="P35" s="45" t="str">
        <f t="shared" si="7"/>
        <v xml:space="preserve"> </v>
      </c>
      <c r="Q35" s="45" t="str">
        <f t="shared" si="7"/>
        <v xml:space="preserve"> </v>
      </c>
      <c r="R35" s="45" t="str">
        <f t="shared" si="7"/>
        <v xml:space="preserve"> </v>
      </c>
      <c r="S35" s="45" t="str">
        <f t="shared" si="7"/>
        <v xml:space="preserve"> </v>
      </c>
      <c r="T35" s="45" t="str">
        <f t="shared" si="7"/>
        <v xml:space="preserve"> </v>
      </c>
      <c r="U35" s="45" t="str">
        <f t="shared" si="7"/>
        <v xml:space="preserve"> </v>
      </c>
      <c r="V35" s="45" t="str">
        <f t="shared" si="7"/>
        <v xml:space="preserve"> </v>
      </c>
      <c r="W35" s="45" t="str">
        <f t="shared" si="7"/>
        <v xml:space="preserve"> </v>
      </c>
      <c r="X35" s="45" t="str">
        <f t="shared" si="7"/>
        <v xml:space="preserve"> </v>
      </c>
      <c r="Y35" s="45" t="str">
        <f t="shared" si="7"/>
        <v xml:space="preserve"> </v>
      </c>
      <c r="Z35" s="45" t="str">
        <f t="shared" si="7"/>
        <v xml:space="preserve"> </v>
      </c>
      <c r="AA35" s="45" t="str">
        <f t="shared" si="7"/>
        <v xml:space="preserve"> </v>
      </c>
      <c r="AB35" s="45" t="str">
        <f t="shared" si="7"/>
        <v xml:space="preserve"> </v>
      </c>
      <c r="AC35" s="45" t="str">
        <f t="shared" si="7"/>
        <v xml:space="preserve"> </v>
      </c>
      <c r="AD35" s="45" t="str">
        <f t="shared" si="7"/>
        <v xml:space="preserve"> </v>
      </c>
      <c r="AE35" s="45" t="str">
        <f t="shared" si="7"/>
        <v xml:space="preserve"> </v>
      </c>
      <c r="AF35" s="45" t="str">
        <f t="shared" si="7"/>
        <v xml:space="preserve"> </v>
      </c>
      <c r="AG35" s="45" t="str">
        <f t="shared" si="7"/>
        <v xml:space="preserve"> </v>
      </c>
      <c r="AH35" s="45" t="str">
        <f t="shared" ref="AH35:AL35" si="8">IF(SUM(AH10:AH29)&lt;1," ",SUM(AH10:AH29))</f>
        <v xml:space="preserve"> </v>
      </c>
      <c r="AI35" s="45" t="str">
        <f t="shared" si="8"/>
        <v xml:space="preserve"> </v>
      </c>
      <c r="AJ35" s="45" t="str">
        <f t="shared" si="8"/>
        <v xml:space="preserve"> </v>
      </c>
      <c r="AK35" s="45" t="str">
        <f t="shared" si="8"/>
        <v xml:space="preserve"> </v>
      </c>
      <c r="AL35" s="46" t="str">
        <f t="shared" si="8"/>
        <v xml:space="preserve"> </v>
      </c>
    </row>
    <row r="36" spans="2:38" ht="16.5" thickBot="1" x14ac:dyDescent="0.3">
      <c r="K36" s="141" t="s">
        <v>5</v>
      </c>
      <c r="L36" s="142"/>
      <c r="M36" s="143"/>
      <c r="N36" s="120" t="e">
        <f>RANK(N35,$N35:$AL35,0)</f>
        <v>#VALUE!</v>
      </c>
      <c r="O36" s="121" t="e">
        <f t="shared" ref="O36:AL36" si="9">RANK(O35,$N35:$AL35,0)</f>
        <v>#VALUE!</v>
      </c>
      <c r="P36" s="121" t="e">
        <f t="shared" si="9"/>
        <v>#VALUE!</v>
      </c>
      <c r="Q36" s="121" t="e">
        <f t="shared" si="9"/>
        <v>#VALUE!</v>
      </c>
      <c r="R36" s="121" t="e">
        <f t="shared" si="9"/>
        <v>#VALUE!</v>
      </c>
      <c r="S36" s="121" t="e">
        <f t="shared" si="9"/>
        <v>#VALUE!</v>
      </c>
      <c r="T36" s="121" t="e">
        <f t="shared" si="9"/>
        <v>#VALUE!</v>
      </c>
      <c r="U36" s="121" t="e">
        <f t="shared" si="9"/>
        <v>#VALUE!</v>
      </c>
      <c r="V36" s="121" t="e">
        <f t="shared" si="9"/>
        <v>#VALUE!</v>
      </c>
      <c r="W36" s="121" t="e">
        <f t="shared" si="9"/>
        <v>#VALUE!</v>
      </c>
      <c r="X36" s="121" t="e">
        <f t="shared" si="9"/>
        <v>#VALUE!</v>
      </c>
      <c r="Y36" s="121" t="e">
        <f t="shared" si="9"/>
        <v>#VALUE!</v>
      </c>
      <c r="Z36" s="121" t="e">
        <f t="shared" si="9"/>
        <v>#VALUE!</v>
      </c>
      <c r="AA36" s="121" t="e">
        <f t="shared" si="9"/>
        <v>#VALUE!</v>
      </c>
      <c r="AB36" s="121" t="e">
        <f t="shared" si="9"/>
        <v>#VALUE!</v>
      </c>
      <c r="AC36" s="121" t="e">
        <f t="shared" si="9"/>
        <v>#VALUE!</v>
      </c>
      <c r="AD36" s="121" t="e">
        <f t="shared" si="9"/>
        <v>#VALUE!</v>
      </c>
      <c r="AE36" s="121" t="e">
        <f t="shared" si="9"/>
        <v>#VALUE!</v>
      </c>
      <c r="AF36" s="121" t="e">
        <f t="shared" si="9"/>
        <v>#VALUE!</v>
      </c>
      <c r="AG36" s="121" t="e">
        <f t="shared" si="9"/>
        <v>#VALUE!</v>
      </c>
      <c r="AH36" s="121" t="e">
        <f t="shared" si="9"/>
        <v>#VALUE!</v>
      </c>
      <c r="AI36" s="121" t="e">
        <f t="shared" si="9"/>
        <v>#VALUE!</v>
      </c>
      <c r="AJ36" s="121" t="e">
        <f t="shared" si="9"/>
        <v>#VALUE!</v>
      </c>
      <c r="AK36" s="121" t="e">
        <f t="shared" si="9"/>
        <v>#VALUE!</v>
      </c>
      <c r="AL36" s="122" t="e">
        <f t="shared" si="9"/>
        <v>#VALUE!</v>
      </c>
    </row>
    <row r="37" spans="2:38" x14ac:dyDescent="0.2">
      <c r="N37" s="7"/>
      <c r="O37" s="7"/>
      <c r="P37" s="7"/>
      <c r="Q37" s="7"/>
    </row>
    <row r="38" spans="2:38" s="31" customFormat="1" ht="135.75" customHeight="1" x14ac:dyDescent="0.2">
      <c r="N38" s="8" t="str">
        <f>+Names!$B$2</f>
        <v>Luke</v>
      </c>
      <c r="O38" s="8" t="str">
        <f>+Names!$B$3</f>
        <v>Ro</v>
      </c>
      <c r="P38" s="8" t="str">
        <f>+Names!$B$4</f>
        <v>Caleb</v>
      </c>
      <c r="Q38" s="8" t="str">
        <f>+Names!$B$5</f>
        <v>Zau</v>
      </c>
      <c r="R38" s="8" t="str">
        <f>+Names!$B$6</f>
        <v>Brady</v>
      </c>
      <c r="S38" s="8" t="str">
        <f>+Names!$B$7</f>
        <v>Theo</v>
      </c>
      <c r="T38" s="8" t="str">
        <f>+Names!$B$8</f>
        <v>Jonathan</v>
      </c>
      <c r="U38" s="8" t="str">
        <f>+Names!$B$9</f>
        <v>Brenton</v>
      </c>
      <c r="V38" s="8" t="str">
        <f>+Names!$B$10</f>
        <v>Jospe</v>
      </c>
      <c r="W38" s="8" t="str">
        <f>+Names!$B$11</f>
        <v>Emery</v>
      </c>
      <c r="X38" s="8" t="str">
        <f>+Names!$B$12</f>
        <v>Isaac</v>
      </c>
      <c r="Y38" s="8" t="str">
        <f>+Names!$B$13</f>
        <v>Alain</v>
      </c>
      <c r="Z38" s="8" t="str">
        <f>+Names!$B$14</f>
        <v>Silas</v>
      </c>
      <c r="AA38" s="8" t="str">
        <f>+Names!$B$15</f>
        <v>De</v>
      </c>
      <c r="AB38" s="8">
        <f>+Names!$B$19</f>
        <v>0</v>
      </c>
      <c r="AC38" s="8">
        <f>+Names!$B$20</f>
        <v>0</v>
      </c>
      <c r="AD38" s="8">
        <f>+Names!$B$18</f>
        <v>0</v>
      </c>
      <c r="AE38" s="8" t="e">
        <f>+Names!#REF!</f>
        <v>#REF!</v>
      </c>
      <c r="AF38" s="8" t="e">
        <f>+Names!#REF!</f>
        <v>#REF!</v>
      </c>
      <c r="AG38" s="8">
        <f>+Names!$B$21</f>
        <v>0</v>
      </c>
      <c r="AH38" s="8">
        <f>+Names!$B$22</f>
        <v>0</v>
      </c>
      <c r="AI38" s="8">
        <f>+Names!$B$23</f>
        <v>0</v>
      </c>
      <c r="AJ38" s="8">
        <f>+Names!$B$24</f>
        <v>0</v>
      </c>
      <c r="AK38" s="8">
        <f>+Names!$B$25</f>
        <v>0</v>
      </c>
      <c r="AL38" s="8">
        <f>+Names!$B$26</f>
        <v>0</v>
      </c>
    </row>
  </sheetData>
  <sheetProtection sheet="1" objects="1" scenarios="1" selectLockedCells="1"/>
  <mergeCells count="20">
    <mergeCell ref="K36:M36"/>
    <mergeCell ref="F4:G4"/>
    <mergeCell ref="M4:N4"/>
    <mergeCell ref="S4:U4"/>
    <mergeCell ref="F5:G5"/>
    <mergeCell ref="M5:N5"/>
    <mergeCell ref="S5:U5"/>
    <mergeCell ref="M6:N6"/>
    <mergeCell ref="G8:I8"/>
    <mergeCell ref="K8:M8"/>
    <mergeCell ref="N8:AG8"/>
    <mergeCell ref="K35:M35"/>
    <mergeCell ref="F3:G3"/>
    <mergeCell ref="M3:N3"/>
    <mergeCell ref="S3:U3"/>
    <mergeCell ref="F1:AB1"/>
    <mergeCell ref="F2:G2"/>
    <mergeCell ref="I2:L2"/>
    <mergeCell ref="M2:N2"/>
    <mergeCell ref="R2:U2"/>
  </mergeCells>
  <conditionalFormatting sqref="F10:F34">
    <cfRule type="expression" dxfId="549" priority="25" stopIfTrue="1">
      <formula>$H$2=F10</formula>
    </cfRule>
  </conditionalFormatting>
  <conditionalFormatting sqref="G10">
    <cfRule type="expression" dxfId="548" priority="7" stopIfTrue="1">
      <formula>$K$10=1</formula>
    </cfRule>
    <cfRule type="expression" dxfId="547" priority="8" stopIfTrue="1">
      <formula>$L$10=1</formula>
    </cfRule>
    <cfRule type="expression" dxfId="546" priority="9" stopIfTrue="1">
      <formula>$M$10=1</formula>
    </cfRule>
  </conditionalFormatting>
  <conditionalFormatting sqref="G11:G34">
    <cfRule type="expression" dxfId="545" priority="10" stopIfTrue="1">
      <formula>K11=1</formula>
    </cfRule>
    <cfRule type="expression" dxfId="544" priority="11" stopIfTrue="1">
      <formula>L11=1</formula>
    </cfRule>
    <cfRule type="expression" dxfId="543" priority="12" stopIfTrue="1">
      <formula>M11=1</formula>
    </cfRule>
  </conditionalFormatting>
  <conditionalFormatting sqref="H10:H34">
    <cfRule type="expression" dxfId="542" priority="13" stopIfTrue="1">
      <formula>K10=2</formula>
    </cfRule>
    <cfRule type="expression" dxfId="541" priority="14" stopIfTrue="1">
      <formula>L10=2</formula>
    </cfRule>
    <cfRule type="expression" dxfId="540" priority="15" stopIfTrue="1">
      <formula>M10=2</formula>
    </cfRule>
  </conditionalFormatting>
  <conditionalFormatting sqref="I10:I34">
    <cfRule type="expression" dxfId="539" priority="16" stopIfTrue="1">
      <formula>K10=3</formula>
    </cfRule>
    <cfRule type="expression" dxfId="538" priority="17" stopIfTrue="1">
      <formula>L10=3</formula>
    </cfRule>
    <cfRule type="expression" dxfId="537" priority="18" stopIfTrue="1">
      <formula>M10=3</formula>
    </cfRule>
  </conditionalFormatting>
  <conditionalFormatting sqref="I3:N6">
    <cfRule type="expression" dxfId="536" priority="22" stopIfTrue="1">
      <formula>$M3="1st"</formula>
    </cfRule>
    <cfRule type="expression" dxfId="535" priority="23" stopIfTrue="1">
      <formula>$M3="2nd"</formula>
    </cfRule>
    <cfRule type="expression" dxfId="534" priority="24" stopIfTrue="1">
      <formula>$M3="3rd"</formula>
    </cfRule>
  </conditionalFormatting>
  <conditionalFormatting sqref="J10:J34">
    <cfRule type="expression" dxfId="533" priority="19" stopIfTrue="1">
      <formula>K10=4</formula>
    </cfRule>
    <cfRule type="expression" dxfId="532" priority="20" stopIfTrue="1">
      <formula>L10=4</formula>
    </cfRule>
    <cfRule type="expression" dxfId="531" priority="21" stopIfTrue="1">
      <formula>M10=4</formula>
    </cfRule>
  </conditionalFormatting>
  <conditionalFormatting sqref="N10:AL34">
    <cfRule type="cellIs" dxfId="530" priority="4" stopIfTrue="1" operator="equal">
      <formula>3</formula>
    </cfRule>
    <cfRule type="cellIs" dxfId="529" priority="5" stopIfTrue="1" operator="equal">
      <formula>2</formula>
    </cfRule>
    <cfRule type="cellIs" dxfId="528" priority="6" stopIfTrue="1" operator="equal">
      <formula>1</formula>
    </cfRule>
  </conditionalFormatting>
  <conditionalFormatting sqref="N36:AL36">
    <cfRule type="cellIs" dxfId="527" priority="1" operator="equal">
      <formula>3</formula>
    </cfRule>
    <cfRule type="cellIs" dxfId="526" priority="2" operator="equal">
      <formula>2</formula>
    </cfRule>
    <cfRule type="cellIs" dxfId="525" priority="3" operator="equal">
      <formula>1</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F038-FDBC-4DD8-85BE-A7553B59249E}">
  <dimension ref="B1:AK37"/>
  <sheetViews>
    <sheetView showGridLines="0" zoomScaleNormal="100" workbookViewId="0">
      <selection activeCell="K10" sqref="K10"/>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7" width="4.7109375" customWidth="1"/>
  </cols>
  <sheetData>
    <row r="1" spans="2:37"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7" s="29" customFormat="1" ht="22.5" x14ac:dyDescent="0.45">
      <c r="F2" s="133" t="s">
        <v>2</v>
      </c>
      <c r="G2" s="134"/>
      <c r="H2" s="47">
        <v>1</v>
      </c>
      <c r="I2" s="135" t="str">
        <f>+Names!$C$1</f>
        <v>Driver</v>
      </c>
      <c r="J2" s="136"/>
      <c r="K2" s="136"/>
      <c r="L2" s="137"/>
      <c r="M2" s="130" t="s">
        <v>8</v>
      </c>
      <c r="N2" s="130"/>
      <c r="R2" s="138" t="s">
        <v>12</v>
      </c>
      <c r="S2" s="139"/>
      <c r="T2" s="139"/>
      <c r="U2" s="140"/>
    </row>
    <row r="3" spans="2:37"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7"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7"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7" s="29" customFormat="1" ht="18.75" hidden="1" x14ac:dyDescent="0.3">
      <c r="E6" s="17"/>
      <c r="F6" s="55"/>
      <c r="G6" s="56"/>
      <c r="H6" s="3"/>
      <c r="I6" s="84"/>
      <c r="J6" s="85"/>
      <c r="K6" s="85"/>
      <c r="L6" s="86"/>
      <c r="M6" s="130"/>
      <c r="N6" s="130"/>
      <c r="R6"/>
      <c r="S6" s="26"/>
      <c r="T6" s="26"/>
      <c r="U6" s="26"/>
    </row>
    <row r="7" spans="2:37" ht="13.5" thickBot="1" x14ac:dyDescent="0.25">
      <c r="E7" s="28"/>
    </row>
    <row r="8" spans="2:37"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row>
    <row r="9" spans="2:37"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c r="AH9" s="58">
        <f>+Names!$A$22</f>
        <v>0</v>
      </c>
      <c r="AI9" s="58">
        <f>+Names!$A$23</f>
        <v>0</v>
      </c>
      <c r="AJ9" s="58">
        <f>+Names!$A$24</f>
        <v>0</v>
      </c>
      <c r="AK9" s="58">
        <f>+Names!$A$25</f>
        <v>0</v>
      </c>
    </row>
    <row r="10" spans="2:37" s="30" customFormat="1" ht="15.75" x14ac:dyDescent="0.25">
      <c r="B10" s="36">
        <v>1</v>
      </c>
      <c r="C10" s="36">
        <v>3</v>
      </c>
      <c r="D10" s="36">
        <v>6</v>
      </c>
      <c r="E10" s="36"/>
      <c r="F10" s="11">
        <v>1</v>
      </c>
      <c r="G10" s="37">
        <f ca="1">INDIRECT(ADDRESS(B10+1,1,,,"Names"))</f>
        <v>1</v>
      </c>
      <c r="H10" s="18">
        <f t="shared" ref="H10:I2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5"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E10:AK24" si="2">IF(ISNA(MATCH(COLUMN()-13,$B10:$E10,0)),"",IF($K10=MATCH(COLUMN()-13,$B10:$E10,0),3,IF($L10=MATCH(COLUMN()-13,$B10:$E10,0),2,IF($M10=MATCH(COLUMN()-13,$B10:$E10,0),1," "))))</f>
        <v/>
      </c>
      <c r="AF10" s="52" t="str">
        <f t="shared" si="2"/>
        <v/>
      </c>
      <c r="AG10" s="52" t="str">
        <f t="shared" si="2"/>
        <v/>
      </c>
      <c r="AH10" s="52" t="str">
        <f t="shared" si="2"/>
        <v/>
      </c>
      <c r="AI10" s="52" t="str">
        <f t="shared" si="2"/>
        <v/>
      </c>
      <c r="AJ10" s="52" t="str">
        <f t="shared" si="2"/>
        <v/>
      </c>
      <c r="AK10" s="53" t="str">
        <f t="shared" si="2"/>
        <v/>
      </c>
    </row>
    <row r="11" spans="2:37" s="30" customFormat="1" ht="15.75" x14ac:dyDescent="0.25">
      <c r="B11" s="36">
        <v>2</v>
      </c>
      <c r="C11" s="36">
        <v>4</v>
      </c>
      <c r="D11" s="36">
        <v>7</v>
      </c>
      <c r="E11" s="36"/>
      <c r="F11" s="12">
        <v>2</v>
      </c>
      <c r="G11" s="4">
        <f t="shared" ref="G11:I26" ca="1" si="3">INDIRECT(ADDRESS(B11+1,1,,,"Names"))</f>
        <v>2</v>
      </c>
      <c r="H11" s="19">
        <f t="shared" ca="1" si="0"/>
        <v>4</v>
      </c>
      <c r="I11" s="69">
        <f t="shared" ca="1" si="0"/>
        <v>7</v>
      </c>
      <c r="J11" s="92"/>
      <c r="K11" s="97"/>
      <c r="L11" s="76"/>
      <c r="M11" s="98"/>
      <c r="N11" s="32" t="str">
        <f t="shared" ref="N11:AC30"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15" t="str">
        <f t="shared" si="2"/>
        <v/>
      </c>
      <c r="AH11" s="15" t="str">
        <f t="shared" si="2"/>
        <v/>
      </c>
      <c r="AI11" s="15" t="str">
        <f t="shared" si="2"/>
        <v/>
      </c>
      <c r="AJ11" s="15" t="str">
        <f t="shared" si="2"/>
        <v/>
      </c>
      <c r="AK11" s="5" t="str">
        <f t="shared" si="2"/>
        <v/>
      </c>
    </row>
    <row r="12" spans="2:37"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15" t="str">
        <f t="shared" si="2"/>
        <v/>
      </c>
      <c r="AH12" s="15" t="str">
        <f t="shared" si="2"/>
        <v/>
      </c>
      <c r="AI12" s="15" t="str">
        <f t="shared" si="2"/>
        <v/>
      </c>
      <c r="AJ12" s="15" t="str">
        <f t="shared" si="2"/>
        <v/>
      </c>
      <c r="AK12" s="5" t="str">
        <f t="shared" si="2"/>
        <v/>
      </c>
    </row>
    <row r="13" spans="2:37"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15" t="str">
        <f t="shared" si="2"/>
        <v/>
      </c>
      <c r="AH13" s="15" t="str">
        <f t="shared" si="2"/>
        <v/>
      </c>
      <c r="AI13" s="15" t="str">
        <f t="shared" si="2"/>
        <v/>
      </c>
      <c r="AJ13" s="15" t="str">
        <f t="shared" si="2"/>
        <v/>
      </c>
      <c r="AK13" s="5" t="str">
        <f t="shared" si="2"/>
        <v/>
      </c>
    </row>
    <row r="14" spans="2:37"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1"/>
        <v/>
      </c>
      <c r="AC14" s="15" t="str">
        <f t="shared" si="1"/>
        <v/>
      </c>
      <c r="AD14" s="15" t="str">
        <f t="shared" si="1"/>
        <v/>
      </c>
      <c r="AE14" s="15" t="str">
        <f t="shared" si="2"/>
        <v/>
      </c>
      <c r="AF14" s="15" t="str">
        <f t="shared" si="2"/>
        <v/>
      </c>
      <c r="AG14" s="15" t="str">
        <f t="shared" si="2"/>
        <v/>
      </c>
      <c r="AH14" s="15" t="str">
        <f t="shared" si="2"/>
        <v/>
      </c>
      <c r="AI14" s="15" t="str">
        <f t="shared" si="2"/>
        <v/>
      </c>
      <c r="AJ14" s="15" t="str">
        <f t="shared" si="2"/>
        <v/>
      </c>
      <c r="AK14" s="5" t="str">
        <f t="shared" si="2"/>
        <v/>
      </c>
    </row>
    <row r="15" spans="2:37"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1"/>
        <v/>
      </c>
      <c r="AC15" s="15" t="str">
        <f t="shared" si="1"/>
        <v/>
      </c>
      <c r="AD15" s="15" t="str">
        <f t="shared" si="1"/>
        <v/>
      </c>
      <c r="AE15" s="15" t="str">
        <f t="shared" si="2"/>
        <v/>
      </c>
      <c r="AF15" s="15" t="str">
        <f t="shared" si="2"/>
        <v/>
      </c>
      <c r="AG15" s="15" t="str">
        <f t="shared" si="2"/>
        <v/>
      </c>
      <c r="AH15" s="15" t="str">
        <f t="shared" si="2"/>
        <v/>
      </c>
      <c r="AI15" s="15" t="str">
        <f t="shared" si="2"/>
        <v/>
      </c>
      <c r="AJ15" s="15" t="str">
        <f t="shared" si="2"/>
        <v/>
      </c>
      <c r="AK15" s="5" t="str">
        <f t="shared" si="2"/>
        <v/>
      </c>
    </row>
    <row r="16" spans="2:37"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1"/>
        <v/>
      </c>
      <c r="AC16" s="15" t="str">
        <f t="shared" si="1"/>
        <v/>
      </c>
      <c r="AD16" s="15" t="str">
        <f t="shared" si="1"/>
        <v/>
      </c>
      <c r="AE16" s="15" t="str">
        <f t="shared" si="2"/>
        <v/>
      </c>
      <c r="AF16" s="15" t="str">
        <f t="shared" si="2"/>
        <v/>
      </c>
      <c r="AG16" s="15" t="str">
        <f t="shared" si="2"/>
        <v/>
      </c>
      <c r="AH16" s="15" t="str">
        <f t="shared" si="2"/>
        <v/>
      </c>
      <c r="AI16" s="15" t="str">
        <f t="shared" si="2"/>
        <v/>
      </c>
      <c r="AJ16" s="15" t="str">
        <f t="shared" si="2"/>
        <v/>
      </c>
      <c r="AK16" s="5" t="str">
        <f t="shared" si="2"/>
        <v/>
      </c>
    </row>
    <row r="17" spans="2:37"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1"/>
        <v/>
      </c>
      <c r="AC17" s="15" t="str">
        <f t="shared" si="1"/>
        <v/>
      </c>
      <c r="AD17" s="15" t="str">
        <f t="shared" si="1"/>
        <v/>
      </c>
      <c r="AE17" s="15" t="str">
        <f t="shared" si="2"/>
        <v/>
      </c>
      <c r="AF17" s="15" t="str">
        <f t="shared" si="2"/>
        <v/>
      </c>
      <c r="AG17" s="15" t="str">
        <f t="shared" si="2"/>
        <v/>
      </c>
      <c r="AH17" s="15" t="str">
        <f t="shared" si="2"/>
        <v/>
      </c>
      <c r="AI17" s="15" t="str">
        <f t="shared" si="2"/>
        <v/>
      </c>
      <c r="AJ17" s="15" t="str">
        <f t="shared" si="2"/>
        <v/>
      </c>
      <c r="AK17" s="5" t="str">
        <f t="shared" si="2"/>
        <v/>
      </c>
    </row>
    <row r="18" spans="2:37"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1"/>
        <v/>
      </c>
      <c r="AC18" s="15" t="str">
        <f t="shared" si="1"/>
        <v/>
      </c>
      <c r="AD18" s="15" t="str">
        <f t="shared" si="1"/>
        <v/>
      </c>
      <c r="AE18" s="15" t="str">
        <f t="shared" si="2"/>
        <v/>
      </c>
      <c r="AF18" s="15" t="str">
        <f t="shared" si="2"/>
        <v/>
      </c>
      <c r="AG18" s="15" t="str">
        <f t="shared" si="2"/>
        <v/>
      </c>
      <c r="AH18" s="15" t="str">
        <f t="shared" si="2"/>
        <v/>
      </c>
      <c r="AI18" s="15" t="str">
        <f t="shared" si="2"/>
        <v/>
      </c>
      <c r="AJ18" s="15" t="str">
        <f t="shared" si="2"/>
        <v/>
      </c>
      <c r="AK18" s="5" t="str">
        <f t="shared" si="2"/>
        <v/>
      </c>
    </row>
    <row r="19" spans="2:37" s="30" customFormat="1" ht="15.75" x14ac:dyDescent="0.25">
      <c r="B19" s="36">
        <v>10</v>
      </c>
      <c r="C19" s="36">
        <v>12</v>
      </c>
      <c r="D19" s="36">
        <v>15</v>
      </c>
      <c r="E19" s="36"/>
      <c r="F19" s="12">
        <v>10</v>
      </c>
      <c r="G19" s="4">
        <f t="shared" ca="1" si="3"/>
        <v>13</v>
      </c>
      <c r="H19" s="19">
        <f t="shared" ca="1" si="0"/>
        <v>23</v>
      </c>
      <c r="I19" s="69">
        <f t="shared" ca="1" si="0"/>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1"/>
        <v xml:space="preserve"> </v>
      </c>
      <c r="AC19" s="15" t="str">
        <f t="shared" si="1"/>
        <v/>
      </c>
      <c r="AD19" s="15" t="str">
        <f t="shared" si="1"/>
        <v/>
      </c>
      <c r="AE19" s="15" t="str">
        <f t="shared" si="2"/>
        <v/>
      </c>
      <c r="AF19" s="15" t="str">
        <f t="shared" si="2"/>
        <v/>
      </c>
      <c r="AG19" s="15" t="str">
        <f t="shared" si="2"/>
        <v/>
      </c>
      <c r="AH19" s="15" t="str">
        <f t="shared" si="2"/>
        <v/>
      </c>
      <c r="AI19" s="15" t="str">
        <f t="shared" si="2"/>
        <v/>
      </c>
      <c r="AJ19" s="15" t="str">
        <f t="shared" si="2"/>
        <v/>
      </c>
      <c r="AK19" s="5" t="str">
        <f t="shared" si="2"/>
        <v/>
      </c>
    </row>
    <row r="20" spans="2:37" s="30" customFormat="1" ht="15.75" x14ac:dyDescent="0.25">
      <c r="B20" s="36">
        <v>11</v>
      </c>
      <c r="C20" s="36">
        <v>13</v>
      </c>
      <c r="D20" s="36">
        <v>16</v>
      </c>
      <c r="E20" s="36"/>
      <c r="F20" s="12">
        <v>11</v>
      </c>
      <c r="G20" s="4">
        <f t="shared" ca="1" si="3"/>
        <v>14</v>
      </c>
      <c r="H20" s="19">
        <f t="shared" ca="1" si="0"/>
        <v>30</v>
      </c>
      <c r="I20" s="69">
        <f t="shared" ca="1" si="0"/>
        <v>99</v>
      </c>
      <c r="J20" s="92"/>
      <c r="K20" s="97"/>
      <c r="L20" s="76"/>
      <c r="M20" s="98"/>
      <c r="N20" s="32" t="str">
        <f t="shared" si="4"/>
        <v/>
      </c>
      <c r="O20" s="15" t="str">
        <f t="shared" si="1"/>
        <v/>
      </c>
      <c r="P20" s="15" t="str">
        <f t="shared" si="1"/>
        <v/>
      </c>
      <c r="Q20" s="15" t="str">
        <f t="shared" si="1"/>
        <v/>
      </c>
      <c r="R20" s="15" t="str">
        <f t="shared" si="1"/>
        <v/>
      </c>
      <c r="S20" s="15" t="str">
        <f t="shared" si="1"/>
        <v/>
      </c>
      <c r="T20" s="15" t="str">
        <f t="shared" si="1"/>
        <v/>
      </c>
      <c r="U20" s="15" t="str">
        <f t="shared" si="1"/>
        <v/>
      </c>
      <c r="V20" s="15" t="str">
        <f t="shared" si="1"/>
        <v/>
      </c>
      <c r="W20" s="15" t="str">
        <f t="shared" si="1"/>
        <v/>
      </c>
      <c r="X20" s="15" t="str">
        <f t="shared" si="1"/>
        <v xml:space="preserve"> </v>
      </c>
      <c r="Y20" s="15" t="str">
        <f t="shared" si="1"/>
        <v/>
      </c>
      <c r="Z20" s="15" t="str">
        <f t="shared" si="1"/>
        <v xml:space="preserve"> </v>
      </c>
      <c r="AA20" s="15" t="str">
        <f t="shared" si="1"/>
        <v/>
      </c>
      <c r="AB20" s="15" t="str">
        <f t="shared" si="1"/>
        <v/>
      </c>
      <c r="AC20" s="15" t="str">
        <f t="shared" si="1"/>
        <v xml:space="preserve"> </v>
      </c>
      <c r="AD20" s="15" t="str">
        <f t="shared" si="1"/>
        <v/>
      </c>
      <c r="AE20" s="15" t="str">
        <f t="shared" si="2"/>
        <v/>
      </c>
      <c r="AF20" s="15" t="str">
        <f t="shared" si="2"/>
        <v/>
      </c>
      <c r="AG20" s="15" t="str">
        <f t="shared" si="2"/>
        <v/>
      </c>
      <c r="AH20" s="15" t="str">
        <f t="shared" si="2"/>
        <v/>
      </c>
      <c r="AI20" s="15" t="str">
        <f t="shared" si="2"/>
        <v/>
      </c>
      <c r="AJ20" s="15" t="str">
        <f t="shared" si="2"/>
        <v/>
      </c>
      <c r="AK20" s="5" t="str">
        <f t="shared" si="2"/>
        <v/>
      </c>
    </row>
    <row r="21" spans="2:37" s="30" customFormat="1" ht="15.75" x14ac:dyDescent="0.25">
      <c r="B21" s="36">
        <v>12</v>
      </c>
      <c r="C21" s="36">
        <v>14</v>
      </c>
      <c r="D21" s="36">
        <v>17</v>
      </c>
      <c r="E21" s="36"/>
      <c r="F21" s="12">
        <v>12</v>
      </c>
      <c r="G21" s="4">
        <f t="shared" ca="1" si="3"/>
        <v>23</v>
      </c>
      <c r="H21" s="19">
        <f t="shared" ca="1" si="0"/>
        <v>37</v>
      </c>
      <c r="I21" s="69">
        <f t="shared" ca="1" si="0"/>
        <v>0</v>
      </c>
      <c r="J21" s="92"/>
      <c r="K21" s="97"/>
      <c r="L21" s="76"/>
      <c r="M21" s="98"/>
      <c r="N21" s="32" t="str">
        <f t="shared" si="4"/>
        <v/>
      </c>
      <c r="O21" s="15" t="str">
        <f t="shared" si="1"/>
        <v/>
      </c>
      <c r="P21" s="15" t="str">
        <f t="shared" si="1"/>
        <v/>
      </c>
      <c r="Q21" s="15" t="str">
        <f t="shared" si="1"/>
        <v/>
      </c>
      <c r="R21" s="15" t="str">
        <f t="shared" si="1"/>
        <v/>
      </c>
      <c r="S21" s="15" t="str">
        <f t="shared" si="1"/>
        <v/>
      </c>
      <c r="T21" s="15" t="str">
        <f t="shared" si="1"/>
        <v/>
      </c>
      <c r="U21" s="15" t="str">
        <f t="shared" si="1"/>
        <v/>
      </c>
      <c r="V21" s="15" t="str">
        <f t="shared" si="1"/>
        <v/>
      </c>
      <c r="W21" s="15" t="str">
        <f t="shared" si="1"/>
        <v/>
      </c>
      <c r="X21" s="15" t="str">
        <f t="shared" si="1"/>
        <v/>
      </c>
      <c r="Y21" s="15" t="str">
        <f t="shared" si="1"/>
        <v xml:space="preserve"> </v>
      </c>
      <c r="Z21" s="15" t="str">
        <f t="shared" si="1"/>
        <v/>
      </c>
      <c r="AA21" s="15" t="str">
        <f t="shared" si="1"/>
        <v xml:space="preserve"> </v>
      </c>
      <c r="AB21" s="15" t="str">
        <f t="shared" si="1"/>
        <v/>
      </c>
      <c r="AC21" s="15" t="str">
        <f t="shared" si="1"/>
        <v/>
      </c>
      <c r="AD21" s="15" t="str">
        <f t="shared" si="1"/>
        <v xml:space="preserve"> </v>
      </c>
      <c r="AE21" s="15" t="str">
        <f t="shared" si="2"/>
        <v/>
      </c>
      <c r="AF21" s="15" t="str">
        <f t="shared" si="2"/>
        <v/>
      </c>
      <c r="AG21" s="15" t="str">
        <f t="shared" si="2"/>
        <v/>
      </c>
      <c r="AH21" s="15" t="str">
        <f t="shared" si="2"/>
        <v/>
      </c>
      <c r="AI21" s="15" t="str">
        <f t="shared" si="2"/>
        <v/>
      </c>
      <c r="AJ21" s="15" t="str">
        <f t="shared" si="2"/>
        <v/>
      </c>
      <c r="AK21" s="5" t="str">
        <f t="shared" si="2"/>
        <v/>
      </c>
    </row>
    <row r="22" spans="2:37" s="30" customFormat="1" ht="15.75" x14ac:dyDescent="0.25">
      <c r="B22" s="36">
        <v>13</v>
      </c>
      <c r="C22" s="36">
        <v>15</v>
      </c>
      <c r="D22" s="36">
        <v>18</v>
      </c>
      <c r="E22" s="36"/>
      <c r="F22" s="12">
        <v>13</v>
      </c>
      <c r="G22" s="4">
        <f t="shared" ca="1" si="3"/>
        <v>30</v>
      </c>
      <c r="H22" s="19">
        <f t="shared" ca="1" si="0"/>
        <v>49</v>
      </c>
      <c r="I22" s="69">
        <f t="shared" ca="1" si="0"/>
        <v>0</v>
      </c>
      <c r="J22" s="92"/>
      <c r="K22" s="97"/>
      <c r="L22" s="76"/>
      <c r="M22" s="98"/>
      <c r="N22" s="32" t="str">
        <f t="shared" si="4"/>
        <v/>
      </c>
      <c r="O22" s="15" t="str">
        <f t="shared" si="1"/>
        <v/>
      </c>
      <c r="P22" s="15" t="str">
        <f t="shared" si="1"/>
        <v/>
      </c>
      <c r="Q22" s="15" t="str">
        <f t="shared" si="1"/>
        <v/>
      </c>
      <c r="R22" s="15" t="str">
        <f t="shared" si="1"/>
        <v/>
      </c>
      <c r="S22" s="15" t="str">
        <f t="shared" si="1"/>
        <v/>
      </c>
      <c r="T22" s="15" t="str">
        <f t="shared" si="1"/>
        <v/>
      </c>
      <c r="U22" s="15" t="str">
        <f t="shared" si="1"/>
        <v/>
      </c>
      <c r="V22" s="15" t="str">
        <f t="shared" si="1"/>
        <v/>
      </c>
      <c r="W22" s="15" t="str">
        <f t="shared" si="1"/>
        <v/>
      </c>
      <c r="X22" s="15" t="str">
        <f t="shared" si="1"/>
        <v/>
      </c>
      <c r="Y22" s="15" t="str">
        <f t="shared" si="1"/>
        <v/>
      </c>
      <c r="Z22" s="15" t="str">
        <f t="shared" si="1"/>
        <v xml:space="preserve"> </v>
      </c>
      <c r="AA22" s="15" t="str">
        <f t="shared" si="1"/>
        <v/>
      </c>
      <c r="AB22" s="15" t="str">
        <f t="shared" si="1"/>
        <v xml:space="preserve"> </v>
      </c>
      <c r="AC22" s="15" t="str">
        <f t="shared" si="1"/>
        <v/>
      </c>
      <c r="AD22" s="15" t="str">
        <f t="shared" si="1"/>
        <v/>
      </c>
      <c r="AE22" s="15" t="str">
        <f t="shared" si="2"/>
        <v xml:space="preserve"> </v>
      </c>
      <c r="AF22" s="15" t="str">
        <f t="shared" si="2"/>
        <v/>
      </c>
      <c r="AG22" s="15" t="str">
        <f t="shared" si="2"/>
        <v/>
      </c>
      <c r="AH22" s="15" t="str">
        <f t="shared" si="2"/>
        <v/>
      </c>
      <c r="AI22" s="15" t="str">
        <f t="shared" si="2"/>
        <v/>
      </c>
      <c r="AJ22" s="15" t="str">
        <f t="shared" si="2"/>
        <v/>
      </c>
      <c r="AK22" s="5" t="str">
        <f t="shared" si="2"/>
        <v/>
      </c>
    </row>
    <row r="23" spans="2:37" s="30" customFormat="1" ht="15.75" x14ac:dyDescent="0.25">
      <c r="B23" s="36">
        <v>14</v>
      </c>
      <c r="C23" s="36">
        <v>16</v>
      </c>
      <c r="D23" s="36">
        <v>19</v>
      </c>
      <c r="E23" s="36"/>
      <c r="F23" s="12">
        <v>14</v>
      </c>
      <c r="G23" s="4">
        <f t="shared" ca="1" si="3"/>
        <v>37</v>
      </c>
      <c r="H23" s="19">
        <f t="shared" ca="1" si="0"/>
        <v>99</v>
      </c>
      <c r="I23" s="69">
        <f t="shared" ca="1" si="0"/>
        <v>0</v>
      </c>
      <c r="J23" s="92"/>
      <c r="K23" s="97"/>
      <c r="L23" s="76"/>
      <c r="M23" s="98"/>
      <c r="N23" s="32" t="str">
        <f t="shared" si="4"/>
        <v/>
      </c>
      <c r="O23" s="15" t="str">
        <f t="shared" si="1"/>
        <v/>
      </c>
      <c r="P23" s="15" t="str">
        <f t="shared" si="1"/>
        <v/>
      </c>
      <c r="Q23" s="15" t="str">
        <f t="shared" si="1"/>
        <v/>
      </c>
      <c r="R23" s="15" t="str">
        <f t="shared" si="1"/>
        <v/>
      </c>
      <c r="S23" s="15" t="str">
        <f t="shared" si="1"/>
        <v/>
      </c>
      <c r="T23" s="15" t="str">
        <f t="shared" si="1"/>
        <v/>
      </c>
      <c r="U23" s="15" t="str">
        <f t="shared" si="1"/>
        <v/>
      </c>
      <c r="V23" s="15" t="str">
        <f t="shared" si="1"/>
        <v/>
      </c>
      <c r="W23" s="15" t="str">
        <f t="shared" si="1"/>
        <v/>
      </c>
      <c r="X23" s="15" t="str">
        <f t="shared" si="1"/>
        <v/>
      </c>
      <c r="Y23" s="15" t="str">
        <f t="shared" si="1"/>
        <v/>
      </c>
      <c r="Z23" s="15" t="str">
        <f t="shared" si="1"/>
        <v/>
      </c>
      <c r="AA23" s="15" t="str">
        <f t="shared" si="1"/>
        <v xml:space="preserve"> </v>
      </c>
      <c r="AB23" s="15" t="str">
        <f t="shared" si="1"/>
        <v/>
      </c>
      <c r="AC23" s="15" t="str">
        <f t="shared" si="1"/>
        <v xml:space="preserve"> </v>
      </c>
      <c r="AD23" s="15" t="str">
        <f t="shared" si="1"/>
        <v/>
      </c>
      <c r="AE23" s="15" t="str">
        <f t="shared" si="2"/>
        <v/>
      </c>
      <c r="AF23" s="15" t="str">
        <f t="shared" si="2"/>
        <v xml:space="preserve"> </v>
      </c>
      <c r="AG23" s="15" t="str">
        <f t="shared" si="2"/>
        <v/>
      </c>
      <c r="AH23" s="15" t="str">
        <f t="shared" si="2"/>
        <v/>
      </c>
      <c r="AI23" s="15" t="str">
        <f t="shared" si="2"/>
        <v/>
      </c>
      <c r="AJ23" s="15" t="str">
        <f t="shared" si="2"/>
        <v/>
      </c>
      <c r="AK23" s="5" t="str">
        <f t="shared" si="2"/>
        <v/>
      </c>
    </row>
    <row r="24" spans="2:37" s="30" customFormat="1" ht="15.75" x14ac:dyDescent="0.25">
      <c r="B24" s="36">
        <v>15</v>
      </c>
      <c r="C24" s="36">
        <v>17</v>
      </c>
      <c r="D24" s="36">
        <v>20</v>
      </c>
      <c r="E24" s="36"/>
      <c r="F24" s="12">
        <v>15</v>
      </c>
      <c r="G24" s="4">
        <f t="shared" ca="1" si="3"/>
        <v>49</v>
      </c>
      <c r="H24" s="19">
        <f t="shared" ca="1" si="0"/>
        <v>0</v>
      </c>
      <c r="I24" s="69">
        <f t="shared" ca="1" si="0"/>
        <v>0</v>
      </c>
      <c r="J24" s="92"/>
      <c r="K24" s="97"/>
      <c r="L24" s="76"/>
      <c r="M24" s="98"/>
      <c r="N24" s="32" t="str">
        <f t="shared" si="4"/>
        <v/>
      </c>
      <c r="O24" s="15" t="str">
        <f t="shared" si="1"/>
        <v/>
      </c>
      <c r="P24" s="15" t="str">
        <f t="shared" si="1"/>
        <v/>
      </c>
      <c r="Q24" s="15" t="str">
        <f t="shared" si="1"/>
        <v/>
      </c>
      <c r="R24" s="15" t="str">
        <f t="shared" si="1"/>
        <v/>
      </c>
      <c r="S24" s="15" t="str">
        <f t="shared" si="1"/>
        <v/>
      </c>
      <c r="T24" s="15" t="str">
        <f t="shared" si="1"/>
        <v/>
      </c>
      <c r="U24" s="15" t="str">
        <f t="shared" si="1"/>
        <v/>
      </c>
      <c r="V24" s="15" t="str">
        <f t="shared" si="1"/>
        <v/>
      </c>
      <c r="W24" s="15" t="str">
        <f t="shared" si="1"/>
        <v/>
      </c>
      <c r="X24" s="15" t="str">
        <f t="shared" si="1"/>
        <v/>
      </c>
      <c r="Y24" s="15" t="str">
        <f t="shared" si="1"/>
        <v/>
      </c>
      <c r="Z24" s="15" t="str">
        <f t="shared" si="1"/>
        <v/>
      </c>
      <c r="AA24" s="15" t="str">
        <f t="shared" si="1"/>
        <v/>
      </c>
      <c r="AB24" s="15" t="str">
        <f t="shared" si="1"/>
        <v xml:space="preserve"> </v>
      </c>
      <c r="AC24" s="15" t="str">
        <f t="shared" si="1"/>
        <v/>
      </c>
      <c r="AD24" s="15" t="str">
        <f t="shared" si="1"/>
        <v xml:space="preserve"> </v>
      </c>
      <c r="AE24" s="15" t="str">
        <f t="shared" si="2"/>
        <v/>
      </c>
      <c r="AF24" s="15" t="str">
        <f t="shared" si="2"/>
        <v/>
      </c>
      <c r="AG24" s="15" t="str">
        <f t="shared" si="2"/>
        <v xml:space="preserve"> </v>
      </c>
      <c r="AH24" s="15" t="str">
        <f t="shared" si="2"/>
        <v/>
      </c>
      <c r="AI24" s="15" t="str">
        <f t="shared" si="2"/>
        <v/>
      </c>
      <c r="AJ24" s="15" t="str">
        <f t="shared" si="2"/>
        <v/>
      </c>
      <c r="AK24" s="5" t="str">
        <f t="shared" si="2"/>
        <v/>
      </c>
    </row>
    <row r="25" spans="2:37" s="30" customFormat="1" ht="15.75" x14ac:dyDescent="0.25">
      <c r="B25" s="36">
        <v>16</v>
      </c>
      <c r="C25" s="36">
        <v>18</v>
      </c>
      <c r="D25" s="36">
        <v>21</v>
      </c>
      <c r="E25" s="36"/>
      <c r="F25" s="12">
        <v>16</v>
      </c>
      <c r="G25" s="4">
        <f t="shared" ca="1" si="3"/>
        <v>99</v>
      </c>
      <c r="H25" s="19">
        <f t="shared" ca="1" si="0"/>
        <v>0</v>
      </c>
      <c r="I25" s="69">
        <f t="shared" ca="1" si="0"/>
        <v>0</v>
      </c>
      <c r="J25" s="92"/>
      <c r="K25" s="97"/>
      <c r="L25" s="76"/>
      <c r="M25" s="98"/>
      <c r="N25" s="32" t="str">
        <f t="shared" si="4"/>
        <v/>
      </c>
      <c r="O25" s="15" t="str">
        <f t="shared" si="1"/>
        <v/>
      </c>
      <c r="P25" s="15" t="str">
        <f t="shared" si="1"/>
        <v/>
      </c>
      <c r="Q25" s="15" t="str">
        <f t="shared" si="1"/>
        <v/>
      </c>
      <c r="R25" s="15" t="str">
        <f t="shared" si="1"/>
        <v/>
      </c>
      <c r="S25" s="15" t="str">
        <f t="shared" si="1"/>
        <v/>
      </c>
      <c r="T25" s="15" t="str">
        <f t="shared" si="1"/>
        <v/>
      </c>
      <c r="U25" s="15" t="str">
        <f t="shared" si="1"/>
        <v/>
      </c>
      <c r="V25" s="15" t="str">
        <f t="shared" si="1"/>
        <v/>
      </c>
      <c r="W25" s="15" t="str">
        <f t="shared" si="1"/>
        <v/>
      </c>
      <c r="X25" s="15" t="str">
        <f t="shared" si="1"/>
        <v/>
      </c>
      <c r="Y25" s="15" t="str">
        <f t="shared" si="1"/>
        <v/>
      </c>
      <c r="Z25" s="15" t="str">
        <f t="shared" si="1"/>
        <v/>
      </c>
      <c r="AA25" s="15" t="str">
        <f t="shared" si="1"/>
        <v/>
      </c>
      <c r="AB25" s="15" t="str">
        <f t="shared" si="1"/>
        <v/>
      </c>
      <c r="AC25" s="15" t="str">
        <f t="shared" si="1"/>
        <v xml:space="preserve"> </v>
      </c>
      <c r="AD25" s="15" t="str">
        <f t="shared" ref="AD25:AK33" si="5">IF(ISNA(MATCH(COLUMN()-13,$B25:$E25,0)),"",IF($K25=MATCH(COLUMN()-13,$B25:$E25,0),3,IF($L25=MATCH(COLUMN()-13,$B25:$E25,0),2,IF($M25=MATCH(COLUMN()-13,$B25:$E25,0),1," "))))</f>
        <v/>
      </c>
      <c r="AE25" s="15" t="str">
        <f t="shared" si="5"/>
        <v xml:space="preserve"> </v>
      </c>
      <c r="AF25" s="15" t="str">
        <f t="shared" si="5"/>
        <v/>
      </c>
      <c r="AG25" s="15" t="str">
        <f t="shared" si="5"/>
        <v/>
      </c>
      <c r="AH25" s="15" t="str">
        <f t="shared" si="5"/>
        <v xml:space="preserve"> </v>
      </c>
      <c r="AI25" s="15" t="str">
        <f t="shared" si="5"/>
        <v/>
      </c>
      <c r="AJ25" s="15" t="str">
        <f t="shared" si="5"/>
        <v/>
      </c>
      <c r="AK25" s="5" t="str">
        <f t="shared" si="5"/>
        <v/>
      </c>
    </row>
    <row r="26" spans="2:37" s="30" customFormat="1" ht="15.75" x14ac:dyDescent="0.25">
      <c r="B26" s="36">
        <v>17</v>
      </c>
      <c r="C26" s="36">
        <v>19</v>
      </c>
      <c r="D26" s="36">
        <v>22</v>
      </c>
      <c r="E26" s="36"/>
      <c r="F26" s="12">
        <v>17</v>
      </c>
      <c r="G26" s="4">
        <f t="shared" ca="1" si="3"/>
        <v>0</v>
      </c>
      <c r="H26" s="19">
        <f t="shared" ca="1" si="3"/>
        <v>0</v>
      </c>
      <c r="I26" s="69">
        <f t="shared" ca="1" si="3"/>
        <v>0</v>
      </c>
      <c r="J26" s="92"/>
      <c r="K26" s="97"/>
      <c r="L26" s="76"/>
      <c r="M26" s="98"/>
      <c r="N26" s="32" t="str">
        <f t="shared" si="4"/>
        <v/>
      </c>
      <c r="O26" s="15" t="str">
        <f t="shared" si="4"/>
        <v/>
      </c>
      <c r="P26" s="15" t="str">
        <f t="shared" si="4"/>
        <v/>
      </c>
      <c r="Q26" s="15" t="str">
        <f t="shared" si="4"/>
        <v/>
      </c>
      <c r="R26" s="15" t="str">
        <f t="shared" si="4"/>
        <v/>
      </c>
      <c r="S26" s="15" t="str">
        <f t="shared" si="4"/>
        <v/>
      </c>
      <c r="T26" s="15" t="str">
        <f t="shared" si="4"/>
        <v/>
      </c>
      <c r="U26" s="15" t="str">
        <f t="shared" si="4"/>
        <v/>
      </c>
      <c r="V26" s="15" t="str">
        <f t="shared" si="4"/>
        <v/>
      </c>
      <c r="W26" s="15" t="str">
        <f t="shared" si="4"/>
        <v/>
      </c>
      <c r="X26" s="15" t="str">
        <f t="shared" si="4"/>
        <v/>
      </c>
      <c r="Y26" s="15" t="str">
        <f t="shared" si="4"/>
        <v/>
      </c>
      <c r="Z26" s="15" t="str">
        <f t="shared" si="4"/>
        <v/>
      </c>
      <c r="AA26" s="15" t="str">
        <f t="shared" si="4"/>
        <v/>
      </c>
      <c r="AB26" s="15" t="str">
        <f t="shared" si="4"/>
        <v/>
      </c>
      <c r="AC26" s="15" t="str">
        <f t="shared" si="4"/>
        <v/>
      </c>
      <c r="AD26" s="15" t="str">
        <f t="shared" si="5"/>
        <v xml:space="preserve"> </v>
      </c>
      <c r="AE26" s="15" t="str">
        <f t="shared" si="5"/>
        <v/>
      </c>
      <c r="AF26" s="15" t="str">
        <f t="shared" si="5"/>
        <v xml:space="preserve"> </v>
      </c>
      <c r="AG26" s="15" t="str">
        <f t="shared" si="5"/>
        <v/>
      </c>
      <c r="AH26" s="15" t="str">
        <f t="shared" si="5"/>
        <v/>
      </c>
      <c r="AI26" s="15" t="str">
        <f t="shared" si="5"/>
        <v xml:space="preserve"> </v>
      </c>
      <c r="AJ26" s="15" t="str">
        <f t="shared" si="5"/>
        <v/>
      </c>
      <c r="AK26" s="5" t="str">
        <f t="shared" si="5"/>
        <v/>
      </c>
    </row>
    <row r="27" spans="2:37" s="30" customFormat="1" ht="15.75" x14ac:dyDescent="0.25">
      <c r="B27" s="36">
        <v>18</v>
      </c>
      <c r="C27" s="36">
        <v>20</v>
      </c>
      <c r="D27" s="36">
        <v>23</v>
      </c>
      <c r="E27" s="36"/>
      <c r="F27" s="12">
        <v>18</v>
      </c>
      <c r="G27" s="4">
        <f t="shared" ref="G27:I29" ca="1" si="6">INDIRECT(ADDRESS(B27+1,1,,,"Names"))</f>
        <v>0</v>
      </c>
      <c r="H27" s="19">
        <f t="shared" ca="1" si="6"/>
        <v>0</v>
      </c>
      <c r="I27" s="69">
        <f t="shared" ca="1" si="6"/>
        <v>0</v>
      </c>
      <c r="J27" s="92"/>
      <c r="K27" s="97"/>
      <c r="L27" s="76"/>
      <c r="M27" s="98"/>
      <c r="N27" s="32" t="str">
        <f t="shared" si="4"/>
        <v/>
      </c>
      <c r="O27" s="15" t="str">
        <f t="shared" si="4"/>
        <v/>
      </c>
      <c r="P27" s="15" t="str">
        <f t="shared" si="4"/>
        <v/>
      </c>
      <c r="Q27" s="15" t="str">
        <f t="shared" si="4"/>
        <v/>
      </c>
      <c r="R27" s="15" t="str">
        <f t="shared" si="4"/>
        <v/>
      </c>
      <c r="S27" s="15" t="str">
        <f t="shared" si="4"/>
        <v/>
      </c>
      <c r="T27" s="15" t="str">
        <f t="shared" si="4"/>
        <v/>
      </c>
      <c r="U27" s="15" t="str">
        <f t="shared" si="4"/>
        <v/>
      </c>
      <c r="V27" s="15" t="str">
        <f t="shared" si="4"/>
        <v/>
      </c>
      <c r="W27" s="15" t="str">
        <f t="shared" si="4"/>
        <v/>
      </c>
      <c r="X27" s="15" t="str">
        <f t="shared" si="4"/>
        <v/>
      </c>
      <c r="Y27" s="15" t="str">
        <f t="shared" si="4"/>
        <v/>
      </c>
      <c r="Z27" s="15" t="str">
        <f t="shared" si="4"/>
        <v/>
      </c>
      <c r="AA27" s="15" t="str">
        <f t="shared" si="4"/>
        <v/>
      </c>
      <c r="AB27" s="15" t="str">
        <f t="shared" si="4"/>
        <v/>
      </c>
      <c r="AC27" s="15" t="str">
        <f t="shared" si="4"/>
        <v/>
      </c>
      <c r="AD27" s="15" t="str">
        <f t="shared" si="5"/>
        <v/>
      </c>
      <c r="AE27" s="15" t="str">
        <f t="shared" si="5"/>
        <v xml:space="preserve"> </v>
      </c>
      <c r="AF27" s="15" t="str">
        <f t="shared" si="5"/>
        <v/>
      </c>
      <c r="AG27" s="15" t="str">
        <f t="shared" si="5"/>
        <v xml:space="preserve"> </v>
      </c>
      <c r="AH27" s="15" t="str">
        <f t="shared" si="5"/>
        <v/>
      </c>
      <c r="AI27" s="15" t="str">
        <f t="shared" si="5"/>
        <v/>
      </c>
      <c r="AJ27" s="15" t="str">
        <f t="shared" si="5"/>
        <v xml:space="preserve"> </v>
      </c>
      <c r="AK27" s="5" t="str">
        <f t="shared" si="5"/>
        <v/>
      </c>
    </row>
    <row r="28" spans="2:37" s="30" customFormat="1" ht="15.75" x14ac:dyDescent="0.25">
      <c r="B28" s="36">
        <v>19</v>
      </c>
      <c r="C28" s="36">
        <v>21</v>
      </c>
      <c r="D28" s="36">
        <v>24</v>
      </c>
      <c r="E28" s="36"/>
      <c r="F28" s="12">
        <v>19</v>
      </c>
      <c r="G28" s="4">
        <f t="shared" ca="1" si="6"/>
        <v>0</v>
      </c>
      <c r="H28" s="19">
        <f t="shared" ca="1" si="6"/>
        <v>0</v>
      </c>
      <c r="I28" s="69">
        <f t="shared" ca="1" si="6"/>
        <v>0</v>
      </c>
      <c r="J28" s="92"/>
      <c r="K28" s="97"/>
      <c r="L28" s="76"/>
      <c r="M28" s="98"/>
      <c r="N28" s="32" t="str">
        <f t="shared" si="4"/>
        <v/>
      </c>
      <c r="O28" s="15" t="str">
        <f t="shared" si="4"/>
        <v/>
      </c>
      <c r="P28" s="15" t="str">
        <f t="shared" si="4"/>
        <v/>
      </c>
      <c r="Q28" s="15" t="str">
        <f t="shared" si="4"/>
        <v/>
      </c>
      <c r="R28" s="15" t="str">
        <f t="shared" si="4"/>
        <v/>
      </c>
      <c r="S28" s="15" t="str">
        <f t="shared" si="4"/>
        <v/>
      </c>
      <c r="T28" s="15" t="str">
        <f t="shared" si="4"/>
        <v/>
      </c>
      <c r="U28" s="15" t="str">
        <f t="shared" si="4"/>
        <v/>
      </c>
      <c r="V28" s="15" t="str">
        <f t="shared" si="4"/>
        <v/>
      </c>
      <c r="W28" s="15" t="str">
        <f t="shared" si="4"/>
        <v/>
      </c>
      <c r="X28" s="15" t="str">
        <f t="shared" si="4"/>
        <v/>
      </c>
      <c r="Y28" s="15" t="str">
        <f t="shared" si="4"/>
        <v/>
      </c>
      <c r="Z28" s="15" t="str">
        <f t="shared" si="4"/>
        <v/>
      </c>
      <c r="AA28" s="15" t="str">
        <f t="shared" si="4"/>
        <v/>
      </c>
      <c r="AB28" s="15" t="str">
        <f t="shared" si="4"/>
        <v/>
      </c>
      <c r="AC28" s="15" t="str">
        <f t="shared" si="4"/>
        <v/>
      </c>
      <c r="AD28" s="15" t="str">
        <f t="shared" si="5"/>
        <v/>
      </c>
      <c r="AE28" s="15" t="str">
        <f t="shared" si="5"/>
        <v/>
      </c>
      <c r="AF28" s="15" t="str">
        <f t="shared" si="5"/>
        <v xml:space="preserve"> </v>
      </c>
      <c r="AG28" s="15" t="str">
        <f t="shared" si="5"/>
        <v/>
      </c>
      <c r="AH28" s="15" t="str">
        <f t="shared" si="5"/>
        <v xml:space="preserve"> </v>
      </c>
      <c r="AI28" s="15" t="str">
        <f t="shared" si="5"/>
        <v/>
      </c>
      <c r="AJ28" s="15" t="str">
        <f t="shared" si="5"/>
        <v/>
      </c>
      <c r="AK28" s="5" t="str">
        <f t="shared" si="5"/>
        <v xml:space="preserve"> </v>
      </c>
    </row>
    <row r="29" spans="2:37" s="30" customFormat="1" ht="15.75" x14ac:dyDescent="0.25">
      <c r="B29" s="36">
        <v>20</v>
      </c>
      <c r="C29" s="36">
        <v>22</v>
      </c>
      <c r="D29" s="36">
        <v>1</v>
      </c>
      <c r="E29" s="36"/>
      <c r="F29" s="12">
        <v>20</v>
      </c>
      <c r="G29" s="4">
        <f t="shared" ca="1" si="6"/>
        <v>0</v>
      </c>
      <c r="H29" s="19">
        <f t="shared" ca="1" si="6"/>
        <v>0</v>
      </c>
      <c r="I29" s="69">
        <f t="shared" ca="1" si="6"/>
        <v>1</v>
      </c>
      <c r="J29" s="92"/>
      <c r="K29" s="97"/>
      <c r="L29" s="76"/>
      <c r="M29" s="98"/>
      <c r="N29" s="32" t="str">
        <f t="shared" si="4"/>
        <v xml:space="preserve"> </v>
      </c>
      <c r="O29" s="15" t="str">
        <f t="shared" si="4"/>
        <v/>
      </c>
      <c r="P29" s="15" t="str">
        <f t="shared" si="4"/>
        <v/>
      </c>
      <c r="Q29" s="15" t="str">
        <f t="shared" si="4"/>
        <v/>
      </c>
      <c r="R29" s="15" t="str">
        <f t="shared" si="4"/>
        <v/>
      </c>
      <c r="S29" s="15" t="str">
        <f t="shared" si="4"/>
        <v/>
      </c>
      <c r="T29" s="15" t="str">
        <f t="shared" si="4"/>
        <v/>
      </c>
      <c r="U29" s="15" t="str">
        <f t="shared" si="4"/>
        <v/>
      </c>
      <c r="V29" s="15" t="str">
        <f t="shared" si="4"/>
        <v/>
      </c>
      <c r="W29" s="15" t="str">
        <f t="shared" si="4"/>
        <v/>
      </c>
      <c r="X29" s="15" t="str">
        <f t="shared" si="4"/>
        <v/>
      </c>
      <c r="Y29" s="15" t="str">
        <f t="shared" si="4"/>
        <v/>
      </c>
      <c r="Z29" s="15" t="str">
        <f t="shared" si="4"/>
        <v/>
      </c>
      <c r="AA29" s="15" t="str">
        <f t="shared" si="4"/>
        <v/>
      </c>
      <c r="AB29" s="15" t="str">
        <f t="shared" si="4"/>
        <v/>
      </c>
      <c r="AC29" s="15" t="str">
        <f t="shared" si="4"/>
        <v/>
      </c>
      <c r="AD29" s="15" t="str">
        <f t="shared" si="5"/>
        <v/>
      </c>
      <c r="AE29" s="15" t="str">
        <f t="shared" si="5"/>
        <v/>
      </c>
      <c r="AF29" s="15" t="str">
        <f t="shared" si="5"/>
        <v/>
      </c>
      <c r="AG29" s="15" t="str">
        <f t="shared" si="5"/>
        <v xml:space="preserve"> </v>
      </c>
      <c r="AH29" s="15" t="str">
        <f t="shared" si="5"/>
        <v/>
      </c>
      <c r="AI29" s="15" t="str">
        <f t="shared" si="5"/>
        <v xml:space="preserve"> </v>
      </c>
      <c r="AJ29" s="15" t="str">
        <f t="shared" si="5"/>
        <v/>
      </c>
      <c r="AK29" s="5" t="str">
        <f t="shared" si="5"/>
        <v/>
      </c>
    </row>
    <row r="30" spans="2:37" s="30" customFormat="1" ht="15.75" x14ac:dyDescent="0.25">
      <c r="B30" s="36">
        <v>21</v>
      </c>
      <c r="C30" s="36">
        <v>23</v>
      </c>
      <c r="D30" s="36">
        <v>2</v>
      </c>
      <c r="E30" s="36"/>
      <c r="F30" s="12">
        <v>20</v>
      </c>
      <c r="G30" s="4">
        <f t="shared" ref="G30:G33" ca="1" si="7">INDIRECT(ADDRESS(B30+1,1,,,"Names"))</f>
        <v>0</v>
      </c>
      <c r="H30" s="19">
        <f t="shared" ref="H30:H33" ca="1" si="8">INDIRECT(ADDRESS(C30+1,1,,,"Names"))</f>
        <v>0</v>
      </c>
      <c r="I30" s="69">
        <f t="shared" ref="I30:I33" ca="1" si="9">INDIRECT(ADDRESS(D30+1,1,,,"Names"))</f>
        <v>2</v>
      </c>
      <c r="J30" s="92"/>
      <c r="K30" s="97"/>
      <c r="L30" s="76"/>
      <c r="M30" s="98"/>
      <c r="N30" s="32" t="str">
        <f t="shared" si="4"/>
        <v/>
      </c>
      <c r="O30" s="15" t="str">
        <f t="shared" si="4"/>
        <v xml:space="preserve"> </v>
      </c>
      <c r="P30" s="15" t="str">
        <f t="shared" si="4"/>
        <v/>
      </c>
      <c r="Q30" s="15" t="str">
        <f t="shared" si="4"/>
        <v/>
      </c>
      <c r="R30" s="15" t="str">
        <f t="shared" si="4"/>
        <v/>
      </c>
      <c r="S30" s="15" t="str">
        <f t="shared" si="4"/>
        <v/>
      </c>
      <c r="T30" s="15" t="str">
        <f t="shared" si="4"/>
        <v/>
      </c>
      <c r="U30" s="15" t="str">
        <f t="shared" si="4"/>
        <v/>
      </c>
      <c r="V30" s="15" t="str">
        <f t="shared" si="4"/>
        <v/>
      </c>
      <c r="W30" s="15" t="str">
        <f t="shared" si="4"/>
        <v/>
      </c>
      <c r="X30" s="15" t="str">
        <f t="shared" si="4"/>
        <v/>
      </c>
      <c r="Y30" s="15" t="str">
        <f t="shared" si="4"/>
        <v/>
      </c>
      <c r="Z30" s="15" t="str">
        <f t="shared" si="4"/>
        <v/>
      </c>
      <c r="AA30" s="15" t="str">
        <f t="shared" si="4"/>
        <v/>
      </c>
      <c r="AB30" s="15" t="str">
        <f t="shared" si="4"/>
        <v/>
      </c>
      <c r="AC30" s="15" t="str">
        <f t="shared" si="4"/>
        <v/>
      </c>
      <c r="AD30" s="15" t="str">
        <f t="shared" si="5"/>
        <v/>
      </c>
      <c r="AE30" s="15" t="str">
        <f t="shared" si="5"/>
        <v/>
      </c>
      <c r="AF30" s="15" t="str">
        <f t="shared" si="5"/>
        <v/>
      </c>
      <c r="AG30" s="15" t="str">
        <f t="shared" si="5"/>
        <v/>
      </c>
      <c r="AH30" s="15" t="str">
        <f t="shared" si="5"/>
        <v xml:space="preserve"> </v>
      </c>
      <c r="AI30" s="15" t="str">
        <f t="shared" si="5"/>
        <v/>
      </c>
      <c r="AJ30" s="15" t="str">
        <f t="shared" si="5"/>
        <v xml:space="preserve"> </v>
      </c>
      <c r="AK30" s="5" t="str">
        <f t="shared" si="5"/>
        <v/>
      </c>
    </row>
    <row r="31" spans="2:37" s="30" customFormat="1" ht="15.75" x14ac:dyDescent="0.25">
      <c r="B31" s="36">
        <v>22</v>
      </c>
      <c r="C31" s="36">
        <v>24</v>
      </c>
      <c r="D31" s="36">
        <v>3</v>
      </c>
      <c r="E31" s="36"/>
      <c r="F31" s="12">
        <v>20</v>
      </c>
      <c r="G31" s="4">
        <f t="shared" ca="1" si="7"/>
        <v>0</v>
      </c>
      <c r="H31" s="19">
        <f t="shared" ca="1" si="8"/>
        <v>0</v>
      </c>
      <c r="I31" s="69">
        <f t="shared" ca="1" si="9"/>
        <v>3</v>
      </c>
      <c r="J31" s="92"/>
      <c r="K31" s="97"/>
      <c r="L31" s="76"/>
      <c r="M31" s="98"/>
      <c r="N31" s="32" t="str">
        <f t="shared" ref="N31:AC33" si="10">IF(ISNA(MATCH(COLUMN()-13,$B31:$E31,0)),"",IF($K31=MATCH(COLUMN()-13,$B31:$E31,0),3,IF($L31=MATCH(COLUMN()-13,$B31:$E31,0),2,IF($M31=MATCH(COLUMN()-13,$B31:$E31,0),1," "))))</f>
        <v/>
      </c>
      <c r="O31" s="15" t="str">
        <f t="shared" si="10"/>
        <v/>
      </c>
      <c r="P31" s="15" t="str">
        <f t="shared" si="10"/>
        <v xml:space="preserve"> </v>
      </c>
      <c r="Q31" s="15" t="str">
        <f t="shared" si="10"/>
        <v/>
      </c>
      <c r="R31" s="15" t="str">
        <f t="shared" si="10"/>
        <v/>
      </c>
      <c r="S31" s="15" t="str">
        <f t="shared" si="10"/>
        <v/>
      </c>
      <c r="T31" s="15" t="str">
        <f t="shared" si="10"/>
        <v/>
      </c>
      <c r="U31" s="15" t="str">
        <f t="shared" si="10"/>
        <v/>
      </c>
      <c r="V31" s="15" t="str">
        <f t="shared" si="10"/>
        <v/>
      </c>
      <c r="W31" s="15" t="str">
        <f t="shared" si="10"/>
        <v/>
      </c>
      <c r="X31" s="15" t="str">
        <f t="shared" si="10"/>
        <v/>
      </c>
      <c r="Y31" s="15" t="str">
        <f t="shared" si="10"/>
        <v/>
      </c>
      <c r="Z31" s="15" t="str">
        <f t="shared" si="10"/>
        <v/>
      </c>
      <c r="AA31" s="15" t="str">
        <f t="shared" si="10"/>
        <v/>
      </c>
      <c r="AB31" s="15" t="str">
        <f t="shared" si="10"/>
        <v/>
      </c>
      <c r="AC31" s="15" t="str">
        <f t="shared" si="10"/>
        <v/>
      </c>
      <c r="AD31" s="15" t="str">
        <f t="shared" si="5"/>
        <v/>
      </c>
      <c r="AE31" s="15" t="str">
        <f t="shared" si="5"/>
        <v/>
      </c>
      <c r="AF31" s="15" t="str">
        <f t="shared" si="5"/>
        <v/>
      </c>
      <c r="AG31" s="15" t="str">
        <f t="shared" si="5"/>
        <v/>
      </c>
      <c r="AH31" s="15" t="str">
        <f t="shared" si="5"/>
        <v/>
      </c>
      <c r="AI31" s="15" t="str">
        <f t="shared" si="5"/>
        <v xml:space="preserve"> </v>
      </c>
      <c r="AJ31" s="15" t="str">
        <f t="shared" si="5"/>
        <v/>
      </c>
      <c r="AK31" s="5" t="str">
        <f t="shared" si="5"/>
        <v xml:space="preserve"> </v>
      </c>
    </row>
    <row r="32" spans="2:37" s="30" customFormat="1" ht="15.75" x14ac:dyDescent="0.25">
      <c r="B32" s="36">
        <v>23</v>
      </c>
      <c r="C32" s="36">
        <v>1</v>
      </c>
      <c r="D32" s="36">
        <v>4</v>
      </c>
      <c r="E32" s="36"/>
      <c r="F32" s="12">
        <v>20</v>
      </c>
      <c r="G32" s="4">
        <f t="shared" ca="1" si="7"/>
        <v>0</v>
      </c>
      <c r="H32" s="19">
        <f t="shared" ca="1" si="8"/>
        <v>1</v>
      </c>
      <c r="I32" s="69">
        <f t="shared" ca="1" si="9"/>
        <v>4</v>
      </c>
      <c r="J32" s="92"/>
      <c r="K32" s="97"/>
      <c r="L32" s="76"/>
      <c r="M32" s="98"/>
      <c r="N32" s="32" t="str">
        <f t="shared" si="10"/>
        <v xml:space="preserve"> </v>
      </c>
      <c r="O32" s="15" t="str">
        <f t="shared" si="10"/>
        <v/>
      </c>
      <c r="P32" s="15" t="str">
        <f t="shared" si="10"/>
        <v/>
      </c>
      <c r="Q32" s="15" t="str">
        <f t="shared" si="10"/>
        <v xml:space="preserve"> </v>
      </c>
      <c r="R32" s="15" t="str">
        <f t="shared" si="10"/>
        <v/>
      </c>
      <c r="S32" s="15" t="str">
        <f t="shared" si="10"/>
        <v/>
      </c>
      <c r="T32" s="15" t="str">
        <f t="shared" si="10"/>
        <v/>
      </c>
      <c r="U32" s="15" t="str">
        <f t="shared" si="10"/>
        <v/>
      </c>
      <c r="V32" s="15" t="str">
        <f t="shared" si="10"/>
        <v/>
      </c>
      <c r="W32" s="15" t="str">
        <f t="shared" si="10"/>
        <v/>
      </c>
      <c r="X32" s="15" t="str">
        <f t="shared" si="10"/>
        <v/>
      </c>
      <c r="Y32" s="15" t="str">
        <f t="shared" si="10"/>
        <v/>
      </c>
      <c r="Z32" s="15" t="str">
        <f t="shared" si="10"/>
        <v/>
      </c>
      <c r="AA32" s="15" t="str">
        <f t="shared" si="10"/>
        <v/>
      </c>
      <c r="AB32" s="15" t="str">
        <f t="shared" si="10"/>
        <v/>
      </c>
      <c r="AC32" s="15" t="str">
        <f t="shared" si="10"/>
        <v/>
      </c>
      <c r="AD32" s="15" t="str">
        <f t="shared" si="5"/>
        <v/>
      </c>
      <c r="AE32" s="15" t="str">
        <f t="shared" si="5"/>
        <v/>
      </c>
      <c r="AF32" s="15" t="str">
        <f t="shared" si="5"/>
        <v/>
      </c>
      <c r="AG32" s="15" t="str">
        <f t="shared" si="5"/>
        <v/>
      </c>
      <c r="AH32" s="15" t="str">
        <f t="shared" si="5"/>
        <v/>
      </c>
      <c r="AI32" s="15" t="str">
        <f t="shared" si="5"/>
        <v/>
      </c>
      <c r="AJ32" s="15" t="str">
        <f t="shared" si="5"/>
        <v xml:space="preserve"> </v>
      </c>
      <c r="AK32" s="5" t="str">
        <f t="shared" si="5"/>
        <v/>
      </c>
    </row>
    <row r="33" spans="2:37" s="30" customFormat="1" ht="16.5" thickBot="1" x14ac:dyDescent="0.3">
      <c r="B33" s="36">
        <v>24</v>
      </c>
      <c r="C33" s="36">
        <v>2</v>
      </c>
      <c r="D33" s="36">
        <v>5</v>
      </c>
      <c r="E33" s="36"/>
      <c r="F33" s="13">
        <v>20</v>
      </c>
      <c r="G33" s="6">
        <f t="shared" ca="1" si="7"/>
        <v>0</v>
      </c>
      <c r="H33" s="39">
        <f t="shared" ca="1" si="8"/>
        <v>2</v>
      </c>
      <c r="I33" s="40">
        <f t="shared" ca="1" si="9"/>
        <v>5</v>
      </c>
      <c r="J33" s="93"/>
      <c r="K33" s="99"/>
      <c r="L33" s="100"/>
      <c r="M33" s="101"/>
      <c r="N33" s="20" t="str">
        <f t="shared" si="10"/>
        <v/>
      </c>
      <c r="O33" s="16" t="str">
        <f t="shared" si="10"/>
        <v xml:space="preserve"> </v>
      </c>
      <c r="P33" s="16" t="str">
        <f t="shared" si="10"/>
        <v/>
      </c>
      <c r="Q33" s="16" t="str">
        <f t="shared" si="10"/>
        <v/>
      </c>
      <c r="R33" s="16" t="str">
        <f t="shared" si="10"/>
        <v xml:space="preserve"> </v>
      </c>
      <c r="S33" s="16" t="str">
        <f t="shared" si="10"/>
        <v/>
      </c>
      <c r="T33" s="16" t="str">
        <f t="shared" si="10"/>
        <v/>
      </c>
      <c r="U33" s="16" t="str">
        <f t="shared" si="10"/>
        <v/>
      </c>
      <c r="V33" s="16" t="str">
        <f t="shared" si="10"/>
        <v/>
      </c>
      <c r="W33" s="16" t="str">
        <f t="shared" si="10"/>
        <v/>
      </c>
      <c r="X33" s="16" t="str">
        <f t="shared" si="10"/>
        <v/>
      </c>
      <c r="Y33" s="16" t="str">
        <f t="shared" si="10"/>
        <v/>
      </c>
      <c r="Z33" s="16" t="str">
        <f t="shared" si="10"/>
        <v/>
      </c>
      <c r="AA33" s="16" t="str">
        <f t="shared" si="10"/>
        <v/>
      </c>
      <c r="AB33" s="16" t="str">
        <f t="shared" si="10"/>
        <v/>
      </c>
      <c r="AC33" s="16" t="str">
        <f t="shared" si="10"/>
        <v/>
      </c>
      <c r="AD33" s="16" t="str">
        <f t="shared" si="5"/>
        <v/>
      </c>
      <c r="AE33" s="16" t="str">
        <f t="shared" si="5"/>
        <v/>
      </c>
      <c r="AF33" s="16" t="str">
        <f t="shared" si="5"/>
        <v/>
      </c>
      <c r="AG33" s="16" t="str">
        <f t="shared" si="5"/>
        <v/>
      </c>
      <c r="AH33" s="16" t="str">
        <f t="shared" si="5"/>
        <v/>
      </c>
      <c r="AI33" s="16" t="str">
        <f t="shared" si="5"/>
        <v/>
      </c>
      <c r="AJ33" s="16" t="str">
        <f t="shared" si="5"/>
        <v/>
      </c>
      <c r="AK33" s="43" t="str">
        <f t="shared" si="5"/>
        <v xml:space="preserve"> </v>
      </c>
    </row>
    <row r="34" spans="2:37" ht="15.75" x14ac:dyDescent="0.25">
      <c r="K34" s="151" t="s">
        <v>4</v>
      </c>
      <c r="L34" s="152"/>
      <c r="M34" s="153"/>
      <c r="N34" s="112" t="str">
        <f t="shared" ref="N34:AG34" si="11">IF(SUM(N10:N29)&lt;1," ",SUM(N10:N29))</f>
        <v xml:space="preserve"> </v>
      </c>
      <c r="O34" s="45" t="str">
        <f t="shared" si="11"/>
        <v xml:space="preserve"> </v>
      </c>
      <c r="P34" s="45" t="str">
        <f t="shared" si="11"/>
        <v xml:space="preserve"> </v>
      </c>
      <c r="Q34" s="45" t="str">
        <f t="shared" si="11"/>
        <v xml:space="preserve"> </v>
      </c>
      <c r="R34" s="45" t="str">
        <f t="shared" si="11"/>
        <v xml:space="preserve"> </v>
      </c>
      <c r="S34" s="45" t="str">
        <f t="shared" si="11"/>
        <v xml:space="preserve"> </v>
      </c>
      <c r="T34" s="45" t="str">
        <f t="shared" si="11"/>
        <v xml:space="preserve"> </v>
      </c>
      <c r="U34" s="45" t="str">
        <f t="shared" si="11"/>
        <v xml:space="preserve"> </v>
      </c>
      <c r="V34" s="45" t="str">
        <f t="shared" si="11"/>
        <v xml:space="preserve"> </v>
      </c>
      <c r="W34" s="45" t="str">
        <f t="shared" si="11"/>
        <v xml:space="preserve"> </v>
      </c>
      <c r="X34" s="45" t="str">
        <f t="shared" si="11"/>
        <v xml:space="preserve"> </v>
      </c>
      <c r="Y34" s="45" t="str">
        <f t="shared" si="11"/>
        <v xml:space="preserve"> </v>
      </c>
      <c r="Z34" s="45" t="str">
        <f t="shared" si="11"/>
        <v xml:space="preserve"> </v>
      </c>
      <c r="AA34" s="45" t="str">
        <f t="shared" si="11"/>
        <v xml:space="preserve"> </v>
      </c>
      <c r="AB34" s="45" t="str">
        <f t="shared" si="11"/>
        <v xml:space="preserve"> </v>
      </c>
      <c r="AC34" s="45" t="str">
        <f t="shared" si="11"/>
        <v xml:space="preserve"> </v>
      </c>
      <c r="AD34" s="45" t="str">
        <f t="shared" si="11"/>
        <v xml:space="preserve"> </v>
      </c>
      <c r="AE34" s="45" t="str">
        <f t="shared" si="11"/>
        <v xml:space="preserve"> </v>
      </c>
      <c r="AF34" s="45" t="str">
        <f t="shared" si="11"/>
        <v xml:space="preserve"> </v>
      </c>
      <c r="AG34" s="45" t="str">
        <f t="shared" si="11"/>
        <v xml:space="preserve"> </v>
      </c>
      <c r="AH34" s="45" t="str">
        <f t="shared" ref="AH34:AK34" si="12">IF(SUM(AH10:AH29)&lt;1," ",SUM(AH10:AH29))</f>
        <v xml:space="preserve"> </v>
      </c>
      <c r="AI34" s="45" t="str">
        <f t="shared" si="12"/>
        <v xml:space="preserve"> </v>
      </c>
      <c r="AJ34" s="45" t="str">
        <f t="shared" si="12"/>
        <v xml:space="preserve"> </v>
      </c>
      <c r="AK34" s="46" t="str">
        <f t="shared" si="12"/>
        <v xml:space="preserve"> </v>
      </c>
    </row>
    <row r="35" spans="2:37" ht="16.5" thickBot="1" x14ac:dyDescent="0.3">
      <c r="K35" s="141" t="s">
        <v>5</v>
      </c>
      <c r="L35" s="142"/>
      <c r="M35" s="143"/>
      <c r="N35" s="120" t="e">
        <f>RANK(N34,$N34:$AL34,0)</f>
        <v>#VALUE!</v>
      </c>
      <c r="O35" s="121" t="e">
        <f t="shared" ref="O35:AK35" si="13">RANK(O34,$N34:$AL34,0)</f>
        <v>#VALUE!</v>
      </c>
      <c r="P35" s="121" t="e">
        <f t="shared" si="13"/>
        <v>#VALUE!</v>
      </c>
      <c r="Q35" s="121" t="e">
        <f t="shared" si="13"/>
        <v>#VALUE!</v>
      </c>
      <c r="R35" s="121" t="e">
        <f t="shared" si="13"/>
        <v>#VALUE!</v>
      </c>
      <c r="S35" s="121" t="e">
        <f t="shared" si="13"/>
        <v>#VALUE!</v>
      </c>
      <c r="T35" s="121" t="e">
        <f t="shared" si="13"/>
        <v>#VALUE!</v>
      </c>
      <c r="U35" s="121" t="e">
        <f t="shared" si="13"/>
        <v>#VALUE!</v>
      </c>
      <c r="V35" s="121" t="e">
        <f t="shared" si="13"/>
        <v>#VALUE!</v>
      </c>
      <c r="W35" s="121" t="e">
        <f t="shared" si="13"/>
        <v>#VALUE!</v>
      </c>
      <c r="X35" s="121" t="e">
        <f t="shared" si="13"/>
        <v>#VALUE!</v>
      </c>
      <c r="Y35" s="121" t="e">
        <f t="shared" si="13"/>
        <v>#VALUE!</v>
      </c>
      <c r="Z35" s="121" t="e">
        <f t="shared" si="13"/>
        <v>#VALUE!</v>
      </c>
      <c r="AA35" s="121" t="e">
        <f t="shared" si="13"/>
        <v>#VALUE!</v>
      </c>
      <c r="AB35" s="121" t="e">
        <f t="shared" si="13"/>
        <v>#VALUE!</v>
      </c>
      <c r="AC35" s="121" t="e">
        <f t="shared" si="13"/>
        <v>#VALUE!</v>
      </c>
      <c r="AD35" s="121" t="e">
        <f t="shared" si="13"/>
        <v>#VALUE!</v>
      </c>
      <c r="AE35" s="121" t="e">
        <f t="shared" si="13"/>
        <v>#VALUE!</v>
      </c>
      <c r="AF35" s="121" t="e">
        <f t="shared" si="13"/>
        <v>#VALUE!</v>
      </c>
      <c r="AG35" s="121" t="e">
        <f t="shared" si="13"/>
        <v>#VALUE!</v>
      </c>
      <c r="AH35" s="121" t="e">
        <f t="shared" si="13"/>
        <v>#VALUE!</v>
      </c>
      <c r="AI35" s="121" t="e">
        <f t="shared" si="13"/>
        <v>#VALUE!</v>
      </c>
      <c r="AJ35" s="121" t="e">
        <f t="shared" si="13"/>
        <v>#VALUE!</v>
      </c>
      <c r="AK35" s="122" t="e">
        <f t="shared" si="13"/>
        <v>#VALUE!</v>
      </c>
    </row>
    <row r="36" spans="2:37" x14ac:dyDescent="0.2">
      <c r="N36" s="7"/>
      <c r="O36" s="7"/>
      <c r="P36" s="7"/>
      <c r="Q36" s="7"/>
    </row>
    <row r="37" spans="2:37" s="31" customFormat="1" ht="135.75" customHeight="1" x14ac:dyDescent="0.2">
      <c r="N37" s="8" t="str">
        <f>+Names!$B$2</f>
        <v>Luke</v>
      </c>
      <c r="O37" s="8" t="str">
        <f>+Names!$B$3</f>
        <v>Ro</v>
      </c>
      <c r="P37" s="8" t="str">
        <f>+Names!$B$4</f>
        <v>Caleb</v>
      </c>
      <c r="Q37" s="8" t="str">
        <f>+Names!$B$5</f>
        <v>Zau</v>
      </c>
      <c r="R37" s="8" t="str">
        <f>+Names!$B$6</f>
        <v>Brady</v>
      </c>
      <c r="S37" s="8" t="str">
        <f>+Names!$B$7</f>
        <v>Theo</v>
      </c>
      <c r="T37" s="8" t="str">
        <f>+Names!$B$8</f>
        <v>Jonathan</v>
      </c>
      <c r="U37" s="8" t="str">
        <f>+Names!$B$9</f>
        <v>Brenton</v>
      </c>
      <c r="V37" s="8" t="str">
        <f>+Names!$B$10</f>
        <v>Jospe</v>
      </c>
      <c r="W37" s="8" t="str">
        <f>+Names!$B$11</f>
        <v>Emery</v>
      </c>
      <c r="X37" s="8" t="str">
        <f>+Names!$B$12</f>
        <v>Isaac</v>
      </c>
      <c r="Y37" s="8" t="str">
        <f>+Names!$B$13</f>
        <v>Alain</v>
      </c>
      <c r="Z37" s="8" t="str">
        <f>+Names!$B$14</f>
        <v>Silas</v>
      </c>
      <c r="AA37" s="8" t="str">
        <f>+Names!$B$15</f>
        <v>De</v>
      </c>
      <c r="AB37" s="8">
        <f>+Names!$B$19</f>
        <v>0</v>
      </c>
      <c r="AC37" s="8">
        <f>+Names!$B$20</f>
        <v>0</v>
      </c>
      <c r="AD37" s="8">
        <f>+Names!$B$18</f>
        <v>0</v>
      </c>
      <c r="AE37" s="8" t="e">
        <f>+Names!#REF!</f>
        <v>#REF!</v>
      </c>
      <c r="AF37" s="8" t="e">
        <f>+Names!#REF!</f>
        <v>#REF!</v>
      </c>
      <c r="AG37" s="8">
        <f>+Names!$B$21</f>
        <v>0</v>
      </c>
      <c r="AH37" s="8">
        <f>+Names!$B$22</f>
        <v>0</v>
      </c>
      <c r="AI37" s="8">
        <f>+Names!$B$23</f>
        <v>0</v>
      </c>
      <c r="AJ37" s="8">
        <f>+Names!$B$24</f>
        <v>0</v>
      </c>
      <c r="AK37" s="8">
        <f>+Names!$B$25</f>
        <v>0</v>
      </c>
    </row>
  </sheetData>
  <sheetProtection sheet="1" objects="1" scenarios="1" selectLockedCells="1"/>
  <mergeCells count="20">
    <mergeCell ref="K35:M35"/>
    <mergeCell ref="F4:G4"/>
    <mergeCell ref="M4:N4"/>
    <mergeCell ref="S4:U4"/>
    <mergeCell ref="F5:G5"/>
    <mergeCell ref="M5:N5"/>
    <mergeCell ref="S5:U5"/>
    <mergeCell ref="M6:N6"/>
    <mergeCell ref="G8:I8"/>
    <mergeCell ref="K8:M8"/>
    <mergeCell ref="N8:AG8"/>
    <mergeCell ref="K34:M34"/>
    <mergeCell ref="F3:G3"/>
    <mergeCell ref="M3:N3"/>
    <mergeCell ref="S3:U3"/>
    <mergeCell ref="F1:AB1"/>
    <mergeCell ref="F2:G2"/>
    <mergeCell ref="I2:L2"/>
    <mergeCell ref="M2:N2"/>
    <mergeCell ref="R2:U2"/>
  </mergeCells>
  <conditionalFormatting sqref="F10:F33">
    <cfRule type="expression" dxfId="524" priority="31" stopIfTrue="1">
      <formula>$H$2=F10</formula>
    </cfRule>
  </conditionalFormatting>
  <conditionalFormatting sqref="G10">
    <cfRule type="expression" dxfId="523" priority="13" stopIfTrue="1">
      <formula>$K$10=1</formula>
    </cfRule>
    <cfRule type="expression" dxfId="522" priority="14" stopIfTrue="1">
      <formula>$L$10=1</formula>
    </cfRule>
    <cfRule type="expression" dxfId="521" priority="15" stopIfTrue="1">
      <formula>$M$10=1</formula>
    </cfRule>
  </conditionalFormatting>
  <conditionalFormatting sqref="G11:G33">
    <cfRule type="expression" dxfId="520" priority="16" stopIfTrue="1">
      <formula>K11=1</formula>
    </cfRule>
    <cfRule type="expression" dxfId="519" priority="17" stopIfTrue="1">
      <formula>L11=1</formula>
    </cfRule>
    <cfRule type="expression" dxfId="518" priority="18" stopIfTrue="1">
      <formula>M11=1</formula>
    </cfRule>
  </conditionalFormatting>
  <conditionalFormatting sqref="H10:H33">
    <cfRule type="expression" dxfId="517" priority="19" stopIfTrue="1">
      <formula>K10=2</formula>
    </cfRule>
    <cfRule type="expression" dxfId="516" priority="20" stopIfTrue="1">
      <formula>L10=2</formula>
    </cfRule>
    <cfRule type="expression" dxfId="515" priority="21" stopIfTrue="1">
      <formula>M10=2</formula>
    </cfRule>
  </conditionalFormatting>
  <conditionalFormatting sqref="I10:I33">
    <cfRule type="expression" dxfId="514" priority="22" stopIfTrue="1">
      <formula>K10=3</formula>
    </cfRule>
    <cfRule type="expression" dxfId="513" priority="23" stopIfTrue="1">
      <formula>L10=3</formula>
    </cfRule>
    <cfRule type="expression" dxfId="512" priority="24" stopIfTrue="1">
      <formula>M10=3</formula>
    </cfRule>
  </conditionalFormatting>
  <conditionalFormatting sqref="I3:N6">
    <cfRule type="expression" dxfId="511" priority="28" stopIfTrue="1">
      <formula>$M3="1st"</formula>
    </cfRule>
    <cfRule type="expression" dxfId="510" priority="29" stopIfTrue="1">
      <formula>$M3="2nd"</formula>
    </cfRule>
    <cfRule type="expression" dxfId="509" priority="30" stopIfTrue="1">
      <formula>$M3="3rd"</formula>
    </cfRule>
  </conditionalFormatting>
  <conditionalFormatting sqref="J10:J33">
    <cfRule type="expression" dxfId="508" priority="25" stopIfTrue="1">
      <formula>K10=4</formula>
    </cfRule>
    <cfRule type="expression" dxfId="507" priority="26" stopIfTrue="1">
      <formula>L10=4</formula>
    </cfRule>
    <cfRule type="expression" dxfId="506" priority="27" stopIfTrue="1">
      <formula>M10=4</formula>
    </cfRule>
  </conditionalFormatting>
  <conditionalFormatting sqref="N10:AK33">
    <cfRule type="cellIs" dxfId="505" priority="7" stopIfTrue="1" operator="equal">
      <formula>3</formula>
    </cfRule>
    <cfRule type="cellIs" dxfId="504" priority="8" stopIfTrue="1" operator="equal">
      <formula>2</formula>
    </cfRule>
    <cfRule type="cellIs" dxfId="503" priority="9" stopIfTrue="1" operator="equal">
      <formula>1</formula>
    </cfRule>
  </conditionalFormatting>
  <conditionalFormatting sqref="N35:AK35">
    <cfRule type="cellIs" dxfId="502" priority="1" operator="equal">
      <formula>3</formula>
    </cfRule>
    <cfRule type="cellIs" dxfId="501" priority="2" operator="equal">
      <formula>2</formula>
    </cfRule>
    <cfRule type="cellIs" dxfId="500" priority="3" operator="equal">
      <formula>1</formula>
    </cfRule>
  </conditionalFormatting>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D6AE-6D3C-48B3-BA8C-5BA3AAEA49C7}">
  <dimension ref="B1:AJ36"/>
  <sheetViews>
    <sheetView showGridLines="0" zoomScaleNormal="100" workbookViewId="0">
      <selection activeCell="K10" sqref="K10"/>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6" width="4.7109375" customWidth="1"/>
  </cols>
  <sheetData>
    <row r="1" spans="2:36"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6" s="29" customFormat="1" ht="22.5" x14ac:dyDescent="0.45">
      <c r="F2" s="133" t="s">
        <v>2</v>
      </c>
      <c r="G2" s="134"/>
      <c r="H2" s="47">
        <v>1</v>
      </c>
      <c r="I2" s="135" t="str">
        <f>+Names!$C$1</f>
        <v>Driver</v>
      </c>
      <c r="J2" s="136"/>
      <c r="K2" s="136"/>
      <c r="L2" s="137"/>
      <c r="M2" s="130" t="s">
        <v>8</v>
      </c>
      <c r="N2" s="130"/>
      <c r="R2" s="138" t="s">
        <v>12</v>
      </c>
      <c r="S2" s="139"/>
      <c r="T2" s="139"/>
      <c r="U2" s="140"/>
    </row>
    <row r="3" spans="2:36"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6"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6"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6" s="29" customFormat="1" ht="18.75" hidden="1" x14ac:dyDescent="0.3">
      <c r="E6" s="17"/>
      <c r="F6" s="55"/>
      <c r="G6" s="56"/>
      <c r="H6" s="3"/>
      <c r="I6" s="84"/>
      <c r="J6" s="85"/>
      <c r="K6" s="85"/>
      <c r="L6" s="86"/>
      <c r="M6" s="130"/>
      <c r="N6" s="130"/>
      <c r="R6"/>
      <c r="S6" s="26"/>
      <c r="T6" s="26"/>
      <c r="U6" s="26"/>
    </row>
    <row r="7" spans="2:36" ht="13.5" thickBot="1" x14ac:dyDescent="0.25">
      <c r="E7" s="28"/>
    </row>
    <row r="8" spans="2:36"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c r="AH8" s="113"/>
      <c r="AI8" s="113"/>
      <c r="AJ8" s="113"/>
    </row>
    <row r="9" spans="2:36"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c r="AH9" s="58">
        <f>+Names!$A$22</f>
        <v>0</v>
      </c>
      <c r="AI9" s="58">
        <f>+Names!$A$23</f>
        <v>0</v>
      </c>
      <c r="AJ9" s="58">
        <f>+Names!$A$24</f>
        <v>0</v>
      </c>
    </row>
    <row r="10" spans="2:36" s="30" customFormat="1" ht="15.75" x14ac:dyDescent="0.25">
      <c r="B10" s="36">
        <v>1</v>
      </c>
      <c r="C10" s="36">
        <v>3</v>
      </c>
      <c r="D10" s="36">
        <v>6</v>
      </c>
      <c r="E10" s="36"/>
      <c r="F10" s="11">
        <v>1</v>
      </c>
      <c r="G10" s="37">
        <f ca="1">INDIRECT(ADDRESS(B10+1,1,,,"Names"))</f>
        <v>1</v>
      </c>
      <c r="H10" s="18">
        <f t="shared" ref="H10:I2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8"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B10:AJ25" si="2">IF(ISNA(MATCH(COLUMN()-13,$B10:$E10,0)),"",IF($K10=MATCH(COLUMN()-13,$B10:$E10,0),3,IF($L10=MATCH(COLUMN()-13,$B10:$E10,0),2,IF($M10=MATCH(COLUMN()-13,$B10:$E10,0),1," "))))</f>
        <v/>
      </c>
      <c r="AF10" s="52" t="str">
        <f t="shared" si="2"/>
        <v/>
      </c>
      <c r="AG10" s="52" t="str">
        <f t="shared" si="2"/>
        <v/>
      </c>
      <c r="AH10" s="52" t="str">
        <f t="shared" si="2"/>
        <v/>
      </c>
      <c r="AI10" s="52" t="str">
        <f t="shared" si="2"/>
        <v/>
      </c>
      <c r="AJ10" s="53" t="str">
        <f t="shared" si="2"/>
        <v/>
      </c>
    </row>
    <row r="11" spans="2:36" s="30" customFormat="1" ht="15.75" x14ac:dyDescent="0.25">
      <c r="B11" s="36">
        <v>2</v>
      </c>
      <c r="C11" s="36">
        <v>4</v>
      </c>
      <c r="D11" s="36">
        <v>7</v>
      </c>
      <c r="E11" s="36"/>
      <c r="F11" s="12">
        <v>2</v>
      </c>
      <c r="G11" s="4">
        <f t="shared" ref="G11:I26" ca="1" si="3">INDIRECT(ADDRESS(B11+1,1,,,"Names"))</f>
        <v>2</v>
      </c>
      <c r="H11" s="19">
        <f t="shared" ca="1" si="0"/>
        <v>4</v>
      </c>
      <c r="I11" s="69">
        <f t="shared" ca="1" si="0"/>
        <v>7</v>
      </c>
      <c r="J11" s="92"/>
      <c r="K11" s="97"/>
      <c r="L11" s="76"/>
      <c r="M11" s="98"/>
      <c r="N11" s="32" t="str">
        <f t="shared" ref="N11:AA30"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15" t="str">
        <f t="shared" si="2"/>
        <v/>
      </c>
      <c r="AH11" s="15" t="str">
        <f t="shared" si="2"/>
        <v/>
      </c>
      <c r="AI11" s="15" t="str">
        <f t="shared" si="2"/>
        <v/>
      </c>
      <c r="AJ11" s="5" t="str">
        <f t="shared" si="2"/>
        <v/>
      </c>
    </row>
    <row r="12" spans="2:36"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15" t="str">
        <f t="shared" si="2"/>
        <v/>
      </c>
      <c r="AH12" s="15" t="str">
        <f t="shared" si="2"/>
        <v/>
      </c>
      <c r="AI12" s="15" t="str">
        <f t="shared" si="2"/>
        <v/>
      </c>
      <c r="AJ12" s="5" t="str">
        <f t="shared" si="2"/>
        <v/>
      </c>
    </row>
    <row r="13" spans="2:36"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15" t="str">
        <f t="shared" si="2"/>
        <v/>
      </c>
      <c r="AH13" s="15" t="str">
        <f t="shared" si="2"/>
        <v/>
      </c>
      <c r="AI13" s="15" t="str">
        <f t="shared" si="2"/>
        <v/>
      </c>
      <c r="AJ13" s="5" t="str">
        <f t="shared" si="2"/>
        <v/>
      </c>
    </row>
    <row r="14" spans="2:36"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2"/>
        <v/>
      </c>
      <c r="AC14" s="15" t="str">
        <f t="shared" si="2"/>
        <v/>
      </c>
      <c r="AD14" s="15" t="str">
        <f t="shared" si="2"/>
        <v/>
      </c>
      <c r="AE14" s="15" t="str">
        <f t="shared" si="2"/>
        <v/>
      </c>
      <c r="AF14" s="15" t="str">
        <f t="shared" si="2"/>
        <v/>
      </c>
      <c r="AG14" s="15" t="str">
        <f t="shared" si="2"/>
        <v/>
      </c>
      <c r="AH14" s="15" t="str">
        <f t="shared" si="2"/>
        <v/>
      </c>
      <c r="AI14" s="15" t="str">
        <f t="shared" si="2"/>
        <v/>
      </c>
      <c r="AJ14" s="5" t="str">
        <f t="shared" si="2"/>
        <v/>
      </c>
    </row>
    <row r="15" spans="2:36"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2"/>
        <v/>
      </c>
      <c r="AC15" s="15" t="str">
        <f t="shared" si="2"/>
        <v/>
      </c>
      <c r="AD15" s="15" t="str">
        <f t="shared" si="2"/>
        <v/>
      </c>
      <c r="AE15" s="15" t="str">
        <f t="shared" si="2"/>
        <v/>
      </c>
      <c r="AF15" s="15" t="str">
        <f t="shared" si="2"/>
        <v/>
      </c>
      <c r="AG15" s="15" t="str">
        <f t="shared" si="2"/>
        <v/>
      </c>
      <c r="AH15" s="15" t="str">
        <f t="shared" si="2"/>
        <v/>
      </c>
      <c r="AI15" s="15" t="str">
        <f t="shared" si="2"/>
        <v/>
      </c>
      <c r="AJ15" s="5" t="str">
        <f t="shared" si="2"/>
        <v/>
      </c>
    </row>
    <row r="16" spans="2:36"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2"/>
        <v/>
      </c>
      <c r="AC16" s="15" t="str">
        <f t="shared" si="2"/>
        <v/>
      </c>
      <c r="AD16" s="15" t="str">
        <f t="shared" si="2"/>
        <v/>
      </c>
      <c r="AE16" s="15" t="str">
        <f t="shared" si="2"/>
        <v/>
      </c>
      <c r="AF16" s="15" t="str">
        <f t="shared" si="2"/>
        <v/>
      </c>
      <c r="AG16" s="15" t="str">
        <f t="shared" si="2"/>
        <v/>
      </c>
      <c r="AH16" s="15" t="str">
        <f t="shared" si="2"/>
        <v/>
      </c>
      <c r="AI16" s="15" t="str">
        <f t="shared" si="2"/>
        <v/>
      </c>
      <c r="AJ16" s="5" t="str">
        <f t="shared" si="2"/>
        <v/>
      </c>
    </row>
    <row r="17" spans="2:36"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2"/>
        <v/>
      </c>
      <c r="AC17" s="15" t="str">
        <f t="shared" si="2"/>
        <v/>
      </c>
      <c r="AD17" s="15" t="str">
        <f t="shared" si="2"/>
        <v/>
      </c>
      <c r="AE17" s="15" t="str">
        <f t="shared" si="2"/>
        <v/>
      </c>
      <c r="AF17" s="15" t="str">
        <f t="shared" si="2"/>
        <v/>
      </c>
      <c r="AG17" s="15" t="str">
        <f t="shared" si="2"/>
        <v/>
      </c>
      <c r="AH17" s="15" t="str">
        <f t="shared" si="2"/>
        <v/>
      </c>
      <c r="AI17" s="15" t="str">
        <f t="shared" si="2"/>
        <v/>
      </c>
      <c r="AJ17" s="5" t="str">
        <f t="shared" si="2"/>
        <v/>
      </c>
    </row>
    <row r="18" spans="2:36"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2"/>
        <v/>
      </c>
      <c r="AC18" s="15" t="str">
        <f t="shared" si="2"/>
        <v/>
      </c>
      <c r="AD18" s="15" t="str">
        <f t="shared" si="2"/>
        <v/>
      </c>
      <c r="AE18" s="15" t="str">
        <f t="shared" si="2"/>
        <v/>
      </c>
      <c r="AF18" s="15" t="str">
        <f t="shared" si="2"/>
        <v/>
      </c>
      <c r="AG18" s="15" t="str">
        <f t="shared" si="2"/>
        <v/>
      </c>
      <c r="AH18" s="15" t="str">
        <f t="shared" si="2"/>
        <v/>
      </c>
      <c r="AI18" s="15" t="str">
        <f t="shared" si="2"/>
        <v/>
      </c>
      <c r="AJ18" s="5" t="str">
        <f t="shared" si="2"/>
        <v/>
      </c>
    </row>
    <row r="19" spans="2:36" s="30" customFormat="1" ht="15.75" x14ac:dyDescent="0.25">
      <c r="B19" s="36">
        <v>10</v>
      </c>
      <c r="C19" s="36">
        <v>12</v>
      </c>
      <c r="D19" s="36">
        <v>15</v>
      </c>
      <c r="E19" s="36"/>
      <c r="F19" s="12">
        <v>10</v>
      </c>
      <c r="G19" s="4">
        <f t="shared" ca="1" si="3"/>
        <v>13</v>
      </c>
      <c r="H19" s="19">
        <f t="shared" ca="1" si="0"/>
        <v>23</v>
      </c>
      <c r="I19" s="69">
        <f t="shared" ca="1" si="0"/>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2"/>
        <v xml:space="preserve"> </v>
      </c>
      <c r="AC19" s="15" t="str">
        <f t="shared" si="2"/>
        <v/>
      </c>
      <c r="AD19" s="15" t="str">
        <f t="shared" si="2"/>
        <v/>
      </c>
      <c r="AE19" s="15" t="str">
        <f t="shared" si="2"/>
        <v/>
      </c>
      <c r="AF19" s="15" t="str">
        <f t="shared" si="2"/>
        <v/>
      </c>
      <c r="AG19" s="15" t="str">
        <f t="shared" si="2"/>
        <v/>
      </c>
      <c r="AH19" s="15" t="str">
        <f t="shared" si="2"/>
        <v/>
      </c>
      <c r="AI19" s="15" t="str">
        <f t="shared" si="2"/>
        <v/>
      </c>
      <c r="AJ19" s="5" t="str">
        <f t="shared" si="2"/>
        <v/>
      </c>
    </row>
    <row r="20" spans="2:36" s="30" customFormat="1" ht="15.75" x14ac:dyDescent="0.25">
      <c r="B20" s="36">
        <v>11</v>
      </c>
      <c r="C20" s="36">
        <v>13</v>
      </c>
      <c r="D20" s="36">
        <v>16</v>
      </c>
      <c r="E20" s="36"/>
      <c r="F20" s="12">
        <v>11</v>
      </c>
      <c r="G20" s="4">
        <f t="shared" ca="1" si="3"/>
        <v>14</v>
      </c>
      <c r="H20" s="19">
        <f t="shared" ca="1" si="0"/>
        <v>30</v>
      </c>
      <c r="I20" s="69">
        <f t="shared" ca="1" si="0"/>
        <v>99</v>
      </c>
      <c r="J20" s="92"/>
      <c r="K20" s="97"/>
      <c r="L20" s="76"/>
      <c r="M20" s="98"/>
      <c r="N20" s="32" t="str">
        <f t="shared" si="4"/>
        <v/>
      </c>
      <c r="O20" s="15" t="str">
        <f t="shared" si="1"/>
        <v/>
      </c>
      <c r="P20" s="15" t="str">
        <f t="shared" si="1"/>
        <v/>
      </c>
      <c r="Q20" s="15" t="str">
        <f t="shared" si="1"/>
        <v/>
      </c>
      <c r="R20" s="15" t="str">
        <f t="shared" si="1"/>
        <v/>
      </c>
      <c r="S20" s="15" t="str">
        <f t="shared" si="1"/>
        <v/>
      </c>
      <c r="T20" s="15" t="str">
        <f t="shared" si="1"/>
        <v/>
      </c>
      <c r="U20" s="15" t="str">
        <f t="shared" si="1"/>
        <v/>
      </c>
      <c r="V20" s="15" t="str">
        <f t="shared" si="1"/>
        <v/>
      </c>
      <c r="W20" s="15" t="str">
        <f t="shared" si="1"/>
        <v/>
      </c>
      <c r="X20" s="15" t="str">
        <f t="shared" si="1"/>
        <v xml:space="preserve"> </v>
      </c>
      <c r="Y20" s="15" t="str">
        <f t="shared" si="1"/>
        <v/>
      </c>
      <c r="Z20" s="15" t="str">
        <f t="shared" si="1"/>
        <v xml:space="preserve"> </v>
      </c>
      <c r="AA20" s="15" t="str">
        <f t="shared" si="1"/>
        <v/>
      </c>
      <c r="AB20" s="15" t="str">
        <f t="shared" si="2"/>
        <v/>
      </c>
      <c r="AC20" s="15" t="str">
        <f t="shared" si="2"/>
        <v xml:space="preserve"> </v>
      </c>
      <c r="AD20" s="15" t="str">
        <f t="shared" si="2"/>
        <v/>
      </c>
      <c r="AE20" s="15" t="str">
        <f t="shared" si="2"/>
        <v/>
      </c>
      <c r="AF20" s="15" t="str">
        <f t="shared" si="2"/>
        <v/>
      </c>
      <c r="AG20" s="15" t="str">
        <f t="shared" si="2"/>
        <v/>
      </c>
      <c r="AH20" s="15" t="str">
        <f t="shared" si="2"/>
        <v/>
      </c>
      <c r="AI20" s="15" t="str">
        <f t="shared" si="2"/>
        <v/>
      </c>
      <c r="AJ20" s="5" t="str">
        <f t="shared" si="2"/>
        <v/>
      </c>
    </row>
    <row r="21" spans="2:36" s="30" customFormat="1" ht="15.75" x14ac:dyDescent="0.25">
      <c r="B21" s="36">
        <v>12</v>
      </c>
      <c r="C21" s="36">
        <v>14</v>
      </c>
      <c r="D21" s="36">
        <v>17</v>
      </c>
      <c r="E21" s="36"/>
      <c r="F21" s="12">
        <v>12</v>
      </c>
      <c r="G21" s="4">
        <f t="shared" ca="1" si="3"/>
        <v>23</v>
      </c>
      <c r="H21" s="19">
        <f t="shared" ca="1" si="0"/>
        <v>37</v>
      </c>
      <c r="I21" s="69">
        <f t="shared" ca="1" si="0"/>
        <v>0</v>
      </c>
      <c r="J21" s="92"/>
      <c r="K21" s="97"/>
      <c r="L21" s="76"/>
      <c r="M21" s="98"/>
      <c r="N21" s="32" t="str">
        <f t="shared" si="4"/>
        <v/>
      </c>
      <c r="O21" s="15" t="str">
        <f t="shared" si="1"/>
        <v/>
      </c>
      <c r="P21" s="15" t="str">
        <f t="shared" si="1"/>
        <v/>
      </c>
      <c r="Q21" s="15" t="str">
        <f t="shared" si="1"/>
        <v/>
      </c>
      <c r="R21" s="15" t="str">
        <f t="shared" si="1"/>
        <v/>
      </c>
      <c r="S21" s="15" t="str">
        <f t="shared" si="1"/>
        <v/>
      </c>
      <c r="T21" s="15" t="str">
        <f t="shared" si="1"/>
        <v/>
      </c>
      <c r="U21" s="15" t="str">
        <f t="shared" si="1"/>
        <v/>
      </c>
      <c r="V21" s="15" t="str">
        <f t="shared" si="1"/>
        <v/>
      </c>
      <c r="W21" s="15" t="str">
        <f t="shared" si="1"/>
        <v/>
      </c>
      <c r="X21" s="15" t="str">
        <f t="shared" si="1"/>
        <v/>
      </c>
      <c r="Y21" s="15" t="str">
        <f t="shared" si="1"/>
        <v xml:space="preserve"> </v>
      </c>
      <c r="Z21" s="15" t="str">
        <f t="shared" si="1"/>
        <v/>
      </c>
      <c r="AA21" s="15" t="str">
        <f t="shared" si="1"/>
        <v xml:space="preserve"> </v>
      </c>
      <c r="AB21" s="15" t="str">
        <f t="shared" si="2"/>
        <v/>
      </c>
      <c r="AC21" s="15" t="str">
        <f t="shared" si="2"/>
        <v/>
      </c>
      <c r="AD21" s="15" t="str">
        <f t="shared" si="2"/>
        <v xml:space="preserve"> </v>
      </c>
      <c r="AE21" s="15" t="str">
        <f t="shared" si="2"/>
        <v/>
      </c>
      <c r="AF21" s="15" t="str">
        <f t="shared" si="2"/>
        <v/>
      </c>
      <c r="AG21" s="15" t="str">
        <f t="shared" si="2"/>
        <v/>
      </c>
      <c r="AH21" s="15" t="str">
        <f t="shared" si="2"/>
        <v/>
      </c>
      <c r="AI21" s="15" t="str">
        <f t="shared" si="2"/>
        <v/>
      </c>
      <c r="AJ21" s="5" t="str">
        <f t="shared" si="2"/>
        <v/>
      </c>
    </row>
    <row r="22" spans="2:36" s="30" customFormat="1" ht="15.75" x14ac:dyDescent="0.25">
      <c r="B22" s="36">
        <v>13</v>
      </c>
      <c r="C22" s="36">
        <v>15</v>
      </c>
      <c r="D22" s="36">
        <v>18</v>
      </c>
      <c r="E22" s="36"/>
      <c r="F22" s="12">
        <v>13</v>
      </c>
      <c r="G22" s="4">
        <f t="shared" ca="1" si="3"/>
        <v>30</v>
      </c>
      <c r="H22" s="19">
        <f t="shared" ca="1" si="0"/>
        <v>49</v>
      </c>
      <c r="I22" s="69">
        <f t="shared" ca="1" si="0"/>
        <v>0</v>
      </c>
      <c r="J22" s="92"/>
      <c r="K22" s="97"/>
      <c r="L22" s="76"/>
      <c r="M22" s="98"/>
      <c r="N22" s="32" t="str">
        <f t="shared" si="4"/>
        <v/>
      </c>
      <c r="O22" s="15" t="str">
        <f t="shared" si="1"/>
        <v/>
      </c>
      <c r="P22" s="15" t="str">
        <f t="shared" si="1"/>
        <v/>
      </c>
      <c r="Q22" s="15" t="str">
        <f t="shared" si="1"/>
        <v/>
      </c>
      <c r="R22" s="15" t="str">
        <f t="shared" si="1"/>
        <v/>
      </c>
      <c r="S22" s="15" t="str">
        <f t="shared" si="1"/>
        <v/>
      </c>
      <c r="T22" s="15" t="str">
        <f t="shared" si="1"/>
        <v/>
      </c>
      <c r="U22" s="15" t="str">
        <f t="shared" si="1"/>
        <v/>
      </c>
      <c r="V22" s="15" t="str">
        <f t="shared" si="1"/>
        <v/>
      </c>
      <c r="W22" s="15" t="str">
        <f t="shared" si="1"/>
        <v/>
      </c>
      <c r="X22" s="15" t="str">
        <f t="shared" si="1"/>
        <v/>
      </c>
      <c r="Y22" s="15" t="str">
        <f t="shared" si="1"/>
        <v/>
      </c>
      <c r="Z22" s="15" t="str">
        <f t="shared" si="1"/>
        <v xml:space="preserve"> </v>
      </c>
      <c r="AA22" s="15" t="str">
        <f t="shared" si="1"/>
        <v/>
      </c>
      <c r="AB22" s="15" t="str">
        <f t="shared" si="2"/>
        <v xml:space="preserve"> </v>
      </c>
      <c r="AC22" s="15" t="str">
        <f t="shared" si="2"/>
        <v/>
      </c>
      <c r="AD22" s="15" t="str">
        <f t="shared" si="2"/>
        <v/>
      </c>
      <c r="AE22" s="15" t="str">
        <f t="shared" si="2"/>
        <v xml:space="preserve"> </v>
      </c>
      <c r="AF22" s="15" t="str">
        <f t="shared" si="2"/>
        <v/>
      </c>
      <c r="AG22" s="15" t="str">
        <f t="shared" si="2"/>
        <v/>
      </c>
      <c r="AH22" s="15" t="str">
        <f t="shared" si="2"/>
        <v/>
      </c>
      <c r="AI22" s="15" t="str">
        <f t="shared" si="2"/>
        <v/>
      </c>
      <c r="AJ22" s="5" t="str">
        <f t="shared" si="2"/>
        <v/>
      </c>
    </row>
    <row r="23" spans="2:36" s="30" customFormat="1" ht="15.75" x14ac:dyDescent="0.25">
      <c r="B23" s="36">
        <v>14</v>
      </c>
      <c r="C23" s="36">
        <v>16</v>
      </c>
      <c r="D23" s="36">
        <v>19</v>
      </c>
      <c r="E23" s="36"/>
      <c r="F23" s="12">
        <v>14</v>
      </c>
      <c r="G23" s="4">
        <f t="shared" ca="1" si="3"/>
        <v>37</v>
      </c>
      <c r="H23" s="19">
        <f t="shared" ca="1" si="0"/>
        <v>99</v>
      </c>
      <c r="I23" s="69">
        <f t="shared" ca="1" si="0"/>
        <v>0</v>
      </c>
      <c r="J23" s="92"/>
      <c r="K23" s="97"/>
      <c r="L23" s="76"/>
      <c r="M23" s="98"/>
      <c r="N23" s="32" t="str">
        <f t="shared" si="4"/>
        <v/>
      </c>
      <c r="O23" s="15" t="str">
        <f t="shared" si="1"/>
        <v/>
      </c>
      <c r="P23" s="15" t="str">
        <f t="shared" si="1"/>
        <v/>
      </c>
      <c r="Q23" s="15" t="str">
        <f t="shared" si="1"/>
        <v/>
      </c>
      <c r="R23" s="15" t="str">
        <f t="shared" si="1"/>
        <v/>
      </c>
      <c r="S23" s="15" t="str">
        <f t="shared" si="1"/>
        <v/>
      </c>
      <c r="T23" s="15" t="str">
        <f t="shared" si="1"/>
        <v/>
      </c>
      <c r="U23" s="15" t="str">
        <f t="shared" si="1"/>
        <v/>
      </c>
      <c r="V23" s="15" t="str">
        <f t="shared" si="1"/>
        <v/>
      </c>
      <c r="W23" s="15" t="str">
        <f t="shared" si="1"/>
        <v/>
      </c>
      <c r="X23" s="15" t="str">
        <f t="shared" si="1"/>
        <v/>
      </c>
      <c r="Y23" s="15" t="str">
        <f t="shared" si="1"/>
        <v/>
      </c>
      <c r="Z23" s="15" t="str">
        <f t="shared" si="1"/>
        <v/>
      </c>
      <c r="AA23" s="15" t="str">
        <f t="shared" si="1"/>
        <v xml:space="preserve"> </v>
      </c>
      <c r="AB23" s="15" t="str">
        <f t="shared" si="2"/>
        <v/>
      </c>
      <c r="AC23" s="15" t="str">
        <f t="shared" si="2"/>
        <v xml:space="preserve"> </v>
      </c>
      <c r="AD23" s="15" t="str">
        <f t="shared" si="2"/>
        <v/>
      </c>
      <c r="AE23" s="15" t="str">
        <f t="shared" si="2"/>
        <v/>
      </c>
      <c r="AF23" s="15" t="str">
        <f t="shared" si="2"/>
        <v xml:space="preserve"> </v>
      </c>
      <c r="AG23" s="15" t="str">
        <f t="shared" si="2"/>
        <v/>
      </c>
      <c r="AH23" s="15" t="str">
        <f t="shared" si="2"/>
        <v/>
      </c>
      <c r="AI23" s="15" t="str">
        <f t="shared" si="2"/>
        <v/>
      </c>
      <c r="AJ23" s="5" t="str">
        <f t="shared" si="2"/>
        <v/>
      </c>
    </row>
    <row r="24" spans="2:36" s="30" customFormat="1" ht="15.75" x14ac:dyDescent="0.25">
      <c r="B24" s="36">
        <v>15</v>
      </c>
      <c r="C24" s="36">
        <v>17</v>
      </c>
      <c r="D24" s="36">
        <v>20</v>
      </c>
      <c r="E24" s="36"/>
      <c r="F24" s="12">
        <v>15</v>
      </c>
      <c r="G24" s="4">
        <f t="shared" ca="1" si="3"/>
        <v>49</v>
      </c>
      <c r="H24" s="19">
        <f t="shared" ca="1" si="0"/>
        <v>0</v>
      </c>
      <c r="I24" s="69">
        <f t="shared" ca="1" si="0"/>
        <v>0</v>
      </c>
      <c r="J24" s="92"/>
      <c r="K24" s="97"/>
      <c r="L24" s="76"/>
      <c r="M24" s="98"/>
      <c r="N24" s="32" t="str">
        <f t="shared" si="4"/>
        <v/>
      </c>
      <c r="O24" s="15" t="str">
        <f t="shared" si="1"/>
        <v/>
      </c>
      <c r="P24" s="15" t="str">
        <f t="shared" si="1"/>
        <v/>
      </c>
      <c r="Q24" s="15" t="str">
        <f t="shared" si="1"/>
        <v/>
      </c>
      <c r="R24" s="15" t="str">
        <f t="shared" si="1"/>
        <v/>
      </c>
      <c r="S24" s="15" t="str">
        <f t="shared" si="1"/>
        <v/>
      </c>
      <c r="T24" s="15" t="str">
        <f t="shared" si="1"/>
        <v/>
      </c>
      <c r="U24" s="15" t="str">
        <f t="shared" si="1"/>
        <v/>
      </c>
      <c r="V24" s="15" t="str">
        <f t="shared" si="1"/>
        <v/>
      </c>
      <c r="W24" s="15" t="str">
        <f t="shared" si="1"/>
        <v/>
      </c>
      <c r="X24" s="15" t="str">
        <f t="shared" si="1"/>
        <v/>
      </c>
      <c r="Y24" s="15" t="str">
        <f t="shared" si="1"/>
        <v/>
      </c>
      <c r="Z24" s="15" t="str">
        <f t="shared" si="1"/>
        <v/>
      </c>
      <c r="AA24" s="15" t="str">
        <f t="shared" si="1"/>
        <v/>
      </c>
      <c r="AB24" s="15" t="str">
        <f t="shared" si="2"/>
        <v xml:space="preserve"> </v>
      </c>
      <c r="AC24" s="15" t="str">
        <f t="shared" si="2"/>
        <v/>
      </c>
      <c r="AD24" s="15" t="str">
        <f t="shared" si="2"/>
        <v xml:space="preserve"> </v>
      </c>
      <c r="AE24" s="15" t="str">
        <f t="shared" si="2"/>
        <v/>
      </c>
      <c r="AF24" s="15" t="str">
        <f t="shared" si="2"/>
        <v/>
      </c>
      <c r="AG24" s="15" t="str">
        <f t="shared" si="2"/>
        <v xml:space="preserve"> </v>
      </c>
      <c r="AH24" s="15" t="str">
        <f t="shared" si="2"/>
        <v/>
      </c>
      <c r="AI24" s="15" t="str">
        <f t="shared" si="2"/>
        <v/>
      </c>
      <c r="AJ24" s="5" t="str">
        <f t="shared" si="2"/>
        <v/>
      </c>
    </row>
    <row r="25" spans="2:36" s="30" customFormat="1" ht="15.75" x14ac:dyDescent="0.25">
      <c r="B25" s="36">
        <v>16</v>
      </c>
      <c r="C25" s="36">
        <v>18</v>
      </c>
      <c r="D25" s="36">
        <v>21</v>
      </c>
      <c r="E25" s="36"/>
      <c r="F25" s="12">
        <v>16</v>
      </c>
      <c r="G25" s="4">
        <f t="shared" ca="1" si="3"/>
        <v>99</v>
      </c>
      <c r="H25" s="19">
        <f t="shared" ca="1" si="0"/>
        <v>0</v>
      </c>
      <c r="I25" s="69">
        <f t="shared" ca="1" si="0"/>
        <v>0</v>
      </c>
      <c r="J25" s="92"/>
      <c r="K25" s="97"/>
      <c r="L25" s="76"/>
      <c r="M25" s="98"/>
      <c r="N25" s="32" t="str">
        <f t="shared" si="4"/>
        <v/>
      </c>
      <c r="O25" s="15" t="str">
        <f t="shared" si="1"/>
        <v/>
      </c>
      <c r="P25" s="15" t="str">
        <f t="shared" si="1"/>
        <v/>
      </c>
      <c r="Q25" s="15" t="str">
        <f t="shared" si="1"/>
        <v/>
      </c>
      <c r="R25" s="15" t="str">
        <f t="shared" si="1"/>
        <v/>
      </c>
      <c r="S25" s="15" t="str">
        <f t="shared" si="1"/>
        <v/>
      </c>
      <c r="T25" s="15" t="str">
        <f t="shared" si="1"/>
        <v/>
      </c>
      <c r="U25" s="15" t="str">
        <f t="shared" si="1"/>
        <v/>
      </c>
      <c r="V25" s="15" t="str">
        <f t="shared" si="1"/>
        <v/>
      </c>
      <c r="W25" s="15" t="str">
        <f t="shared" si="1"/>
        <v/>
      </c>
      <c r="X25" s="15" t="str">
        <f t="shared" si="1"/>
        <v/>
      </c>
      <c r="Y25" s="15" t="str">
        <f t="shared" si="1"/>
        <v/>
      </c>
      <c r="Z25" s="15" t="str">
        <f t="shared" si="1"/>
        <v/>
      </c>
      <c r="AA25" s="15" t="str">
        <f t="shared" si="1"/>
        <v/>
      </c>
      <c r="AB25" s="15" t="str">
        <f t="shared" si="2"/>
        <v/>
      </c>
      <c r="AC25" s="15" t="str">
        <f t="shared" si="2"/>
        <v xml:space="preserve"> </v>
      </c>
      <c r="AD25" s="15" t="str">
        <f t="shared" si="2"/>
        <v/>
      </c>
      <c r="AE25" s="15" t="str">
        <f t="shared" si="2"/>
        <v xml:space="preserve"> </v>
      </c>
      <c r="AF25" s="15" t="str">
        <f t="shared" si="2"/>
        <v/>
      </c>
      <c r="AG25" s="15" t="str">
        <f t="shared" si="2"/>
        <v/>
      </c>
      <c r="AH25" s="15" t="str">
        <f t="shared" si="2"/>
        <v xml:space="preserve"> </v>
      </c>
      <c r="AI25" s="15" t="str">
        <f t="shared" si="2"/>
        <v/>
      </c>
      <c r="AJ25" s="5" t="str">
        <f t="shared" si="2"/>
        <v/>
      </c>
    </row>
    <row r="26" spans="2:36" s="30" customFormat="1" ht="15.75" x14ac:dyDescent="0.25">
      <c r="B26" s="36">
        <v>17</v>
      </c>
      <c r="C26" s="36">
        <v>19</v>
      </c>
      <c r="D26" s="36">
        <v>22</v>
      </c>
      <c r="E26" s="36"/>
      <c r="F26" s="12">
        <v>17</v>
      </c>
      <c r="G26" s="4">
        <f t="shared" ca="1" si="3"/>
        <v>0</v>
      </c>
      <c r="H26" s="19">
        <f t="shared" ca="1" si="3"/>
        <v>0</v>
      </c>
      <c r="I26" s="69">
        <f t="shared" ca="1" si="3"/>
        <v>0</v>
      </c>
      <c r="J26" s="92"/>
      <c r="K26" s="97"/>
      <c r="L26" s="76"/>
      <c r="M26" s="98"/>
      <c r="N26" s="32" t="str">
        <f t="shared" si="4"/>
        <v/>
      </c>
      <c r="O26" s="15" t="str">
        <f t="shared" si="1"/>
        <v/>
      </c>
      <c r="P26" s="15" t="str">
        <f t="shared" si="1"/>
        <v/>
      </c>
      <c r="Q26" s="15" t="str">
        <f t="shared" si="1"/>
        <v/>
      </c>
      <c r="R26" s="15" t="str">
        <f t="shared" si="1"/>
        <v/>
      </c>
      <c r="S26" s="15" t="str">
        <f t="shared" si="1"/>
        <v/>
      </c>
      <c r="T26" s="15" t="str">
        <f t="shared" si="1"/>
        <v/>
      </c>
      <c r="U26" s="15" t="str">
        <f t="shared" si="1"/>
        <v/>
      </c>
      <c r="V26" s="15" t="str">
        <f t="shared" si="1"/>
        <v/>
      </c>
      <c r="W26" s="15" t="str">
        <f t="shared" si="1"/>
        <v/>
      </c>
      <c r="X26" s="15" t="str">
        <f t="shared" si="1"/>
        <v/>
      </c>
      <c r="Y26" s="15" t="str">
        <f t="shared" si="1"/>
        <v/>
      </c>
      <c r="Z26" s="15" t="str">
        <f t="shared" si="1"/>
        <v/>
      </c>
      <c r="AA26" s="15" t="str">
        <f t="shared" si="1"/>
        <v/>
      </c>
      <c r="AB26" s="15" t="str">
        <f t="shared" si="1"/>
        <v/>
      </c>
      <c r="AC26" s="15" t="str">
        <f t="shared" si="1"/>
        <v/>
      </c>
      <c r="AD26" s="15" t="str">
        <f t="shared" si="1"/>
        <v xml:space="preserve"> </v>
      </c>
      <c r="AE26" s="15" t="str">
        <f t="shared" ref="AB26:AJ32" si="5">IF(ISNA(MATCH(COLUMN()-13,$B26:$E26,0)),"",IF($K26=MATCH(COLUMN()-13,$B26:$E26,0),3,IF($L26=MATCH(COLUMN()-13,$B26:$E26,0),2,IF($M26=MATCH(COLUMN()-13,$B26:$E26,0),1," "))))</f>
        <v/>
      </c>
      <c r="AF26" s="15" t="str">
        <f t="shared" si="5"/>
        <v xml:space="preserve"> </v>
      </c>
      <c r="AG26" s="15" t="str">
        <f t="shared" si="5"/>
        <v/>
      </c>
      <c r="AH26" s="15" t="str">
        <f t="shared" si="5"/>
        <v/>
      </c>
      <c r="AI26" s="15" t="str">
        <f t="shared" si="5"/>
        <v xml:space="preserve"> </v>
      </c>
      <c r="AJ26" s="5" t="str">
        <f t="shared" si="5"/>
        <v/>
      </c>
    </row>
    <row r="27" spans="2:36" s="30" customFormat="1" ht="15.75" x14ac:dyDescent="0.25">
      <c r="B27" s="36">
        <v>18</v>
      </c>
      <c r="C27" s="36">
        <v>20</v>
      </c>
      <c r="D27" s="36">
        <v>23</v>
      </c>
      <c r="E27" s="36"/>
      <c r="F27" s="12">
        <v>18</v>
      </c>
      <c r="G27" s="4">
        <f t="shared" ref="G27:I29" ca="1" si="6">INDIRECT(ADDRESS(B27+1,1,,,"Names"))</f>
        <v>0</v>
      </c>
      <c r="H27" s="19">
        <f t="shared" ca="1" si="6"/>
        <v>0</v>
      </c>
      <c r="I27" s="69">
        <f t="shared" ca="1" si="6"/>
        <v>0</v>
      </c>
      <c r="J27" s="92"/>
      <c r="K27" s="97"/>
      <c r="L27" s="76"/>
      <c r="M27" s="98"/>
      <c r="N27" s="32" t="str">
        <f t="shared" si="4"/>
        <v/>
      </c>
      <c r="O27" s="15" t="str">
        <f t="shared" si="1"/>
        <v/>
      </c>
      <c r="P27" s="15" t="str">
        <f t="shared" si="1"/>
        <v/>
      </c>
      <c r="Q27" s="15" t="str">
        <f t="shared" si="1"/>
        <v/>
      </c>
      <c r="R27" s="15" t="str">
        <f t="shared" si="1"/>
        <v/>
      </c>
      <c r="S27" s="15" t="str">
        <f t="shared" si="1"/>
        <v/>
      </c>
      <c r="T27" s="15" t="str">
        <f t="shared" si="1"/>
        <v/>
      </c>
      <c r="U27" s="15" t="str">
        <f t="shared" si="1"/>
        <v/>
      </c>
      <c r="V27" s="15" t="str">
        <f t="shared" si="1"/>
        <v/>
      </c>
      <c r="W27" s="15" t="str">
        <f t="shared" si="1"/>
        <v/>
      </c>
      <c r="X27" s="15" t="str">
        <f t="shared" si="1"/>
        <v/>
      </c>
      <c r="Y27" s="15" t="str">
        <f t="shared" si="1"/>
        <v/>
      </c>
      <c r="Z27" s="15" t="str">
        <f t="shared" si="1"/>
        <v/>
      </c>
      <c r="AA27" s="15" t="str">
        <f t="shared" si="1"/>
        <v/>
      </c>
      <c r="AB27" s="15" t="str">
        <f t="shared" si="5"/>
        <v/>
      </c>
      <c r="AC27" s="15" t="str">
        <f t="shared" si="5"/>
        <v/>
      </c>
      <c r="AD27" s="15" t="str">
        <f t="shared" si="5"/>
        <v/>
      </c>
      <c r="AE27" s="15" t="str">
        <f t="shared" si="5"/>
        <v xml:space="preserve"> </v>
      </c>
      <c r="AF27" s="15" t="str">
        <f t="shared" si="5"/>
        <v/>
      </c>
      <c r="AG27" s="15" t="str">
        <f t="shared" si="5"/>
        <v xml:space="preserve"> </v>
      </c>
      <c r="AH27" s="15" t="str">
        <f t="shared" si="5"/>
        <v/>
      </c>
      <c r="AI27" s="15" t="str">
        <f t="shared" si="5"/>
        <v/>
      </c>
      <c r="AJ27" s="5" t="str">
        <f t="shared" si="5"/>
        <v xml:space="preserve"> </v>
      </c>
    </row>
    <row r="28" spans="2:36" s="30" customFormat="1" ht="15.75" x14ac:dyDescent="0.25">
      <c r="B28" s="36">
        <v>19</v>
      </c>
      <c r="C28" s="36">
        <v>21</v>
      </c>
      <c r="D28" s="36">
        <v>1</v>
      </c>
      <c r="E28" s="36"/>
      <c r="F28" s="12">
        <v>19</v>
      </c>
      <c r="G28" s="4">
        <f t="shared" ca="1" si="6"/>
        <v>0</v>
      </c>
      <c r="H28" s="19">
        <f t="shared" ca="1" si="6"/>
        <v>0</v>
      </c>
      <c r="I28" s="69">
        <f t="shared" ca="1" si="6"/>
        <v>1</v>
      </c>
      <c r="J28" s="92"/>
      <c r="K28" s="97"/>
      <c r="L28" s="76"/>
      <c r="M28" s="98"/>
      <c r="N28" s="32" t="str">
        <f t="shared" si="4"/>
        <v xml:space="preserve"> </v>
      </c>
      <c r="O28" s="15" t="str">
        <f t="shared" si="1"/>
        <v/>
      </c>
      <c r="P28" s="15" t="str">
        <f t="shared" si="1"/>
        <v/>
      </c>
      <c r="Q28" s="15" t="str">
        <f t="shared" si="1"/>
        <v/>
      </c>
      <c r="R28" s="15" t="str">
        <f t="shared" si="1"/>
        <v/>
      </c>
      <c r="S28" s="15" t="str">
        <f t="shared" si="1"/>
        <v/>
      </c>
      <c r="T28" s="15" t="str">
        <f t="shared" si="1"/>
        <v/>
      </c>
      <c r="U28" s="15" t="str">
        <f t="shared" ref="U28:AA28" si="7">IF(ISNA(MATCH(COLUMN()-13,$B28:$E28,0)),"",IF($K28=MATCH(COLUMN()-13,$B28:$E28,0),3,IF($L28=MATCH(COLUMN()-13,$B28:$E28,0),2,IF($M28=MATCH(COLUMN()-13,$B28:$E28,0),1," "))))</f>
        <v/>
      </c>
      <c r="V28" s="15" t="str">
        <f t="shared" si="7"/>
        <v/>
      </c>
      <c r="W28" s="15" t="str">
        <f t="shared" si="7"/>
        <v/>
      </c>
      <c r="X28" s="15" t="str">
        <f t="shared" si="7"/>
        <v/>
      </c>
      <c r="Y28" s="15" t="str">
        <f t="shared" si="7"/>
        <v/>
      </c>
      <c r="Z28" s="15" t="str">
        <f t="shared" si="7"/>
        <v/>
      </c>
      <c r="AA28" s="15" t="str">
        <f t="shared" si="7"/>
        <v/>
      </c>
      <c r="AB28" s="15" t="str">
        <f t="shared" si="5"/>
        <v/>
      </c>
      <c r="AC28" s="15" t="str">
        <f t="shared" si="5"/>
        <v/>
      </c>
      <c r="AD28" s="15" t="str">
        <f t="shared" si="5"/>
        <v/>
      </c>
      <c r="AE28" s="15" t="str">
        <f t="shared" si="5"/>
        <v/>
      </c>
      <c r="AF28" s="15" t="str">
        <f t="shared" si="5"/>
        <v xml:space="preserve"> </v>
      </c>
      <c r="AG28" s="15" t="str">
        <f t="shared" si="5"/>
        <v/>
      </c>
      <c r="AH28" s="15" t="str">
        <f t="shared" si="5"/>
        <v xml:space="preserve"> </v>
      </c>
      <c r="AI28" s="15" t="str">
        <f t="shared" si="5"/>
        <v/>
      </c>
      <c r="AJ28" s="5" t="str">
        <f t="shared" si="5"/>
        <v/>
      </c>
    </row>
    <row r="29" spans="2:36" s="30" customFormat="1" ht="15.75" x14ac:dyDescent="0.25">
      <c r="B29" s="36">
        <v>20</v>
      </c>
      <c r="C29" s="36">
        <v>22</v>
      </c>
      <c r="D29" s="36">
        <v>2</v>
      </c>
      <c r="E29" s="36"/>
      <c r="F29" s="12">
        <v>20</v>
      </c>
      <c r="G29" s="4">
        <f t="shared" ca="1" si="6"/>
        <v>0</v>
      </c>
      <c r="H29" s="19">
        <f t="shared" ca="1" si="6"/>
        <v>0</v>
      </c>
      <c r="I29" s="69">
        <f t="shared" ca="1" si="6"/>
        <v>2</v>
      </c>
      <c r="J29" s="92"/>
      <c r="K29" s="97"/>
      <c r="L29" s="76"/>
      <c r="M29" s="98"/>
      <c r="N29" s="32" t="str">
        <f t="shared" si="4"/>
        <v/>
      </c>
      <c r="O29" s="15" t="str">
        <f t="shared" si="4"/>
        <v xml:space="preserve"> </v>
      </c>
      <c r="P29" s="15" t="str">
        <f t="shared" si="4"/>
        <v/>
      </c>
      <c r="Q29" s="15" t="str">
        <f t="shared" si="4"/>
        <v/>
      </c>
      <c r="R29" s="15" t="str">
        <f t="shared" si="4"/>
        <v/>
      </c>
      <c r="S29" s="15" t="str">
        <f t="shared" si="4"/>
        <v/>
      </c>
      <c r="T29" s="15" t="str">
        <f t="shared" si="4"/>
        <v/>
      </c>
      <c r="U29" s="15" t="str">
        <f t="shared" si="4"/>
        <v/>
      </c>
      <c r="V29" s="15" t="str">
        <f t="shared" si="4"/>
        <v/>
      </c>
      <c r="W29" s="15" t="str">
        <f t="shared" si="4"/>
        <v/>
      </c>
      <c r="X29" s="15" t="str">
        <f t="shared" si="4"/>
        <v/>
      </c>
      <c r="Y29" s="15" t="str">
        <f t="shared" si="4"/>
        <v/>
      </c>
      <c r="Z29" s="15" t="str">
        <f t="shared" si="4"/>
        <v/>
      </c>
      <c r="AA29" s="15" t="str">
        <f t="shared" si="4"/>
        <v/>
      </c>
      <c r="AB29" s="15" t="str">
        <f t="shared" si="5"/>
        <v/>
      </c>
      <c r="AC29" s="15" t="str">
        <f t="shared" si="5"/>
        <v/>
      </c>
      <c r="AD29" s="15" t="str">
        <f t="shared" si="5"/>
        <v/>
      </c>
      <c r="AE29" s="15" t="str">
        <f t="shared" si="5"/>
        <v/>
      </c>
      <c r="AF29" s="15" t="str">
        <f t="shared" si="5"/>
        <v/>
      </c>
      <c r="AG29" s="15" t="str">
        <f t="shared" si="5"/>
        <v xml:space="preserve"> </v>
      </c>
      <c r="AH29" s="15" t="str">
        <f t="shared" si="5"/>
        <v/>
      </c>
      <c r="AI29" s="15" t="str">
        <f t="shared" si="5"/>
        <v xml:space="preserve"> </v>
      </c>
      <c r="AJ29" s="5" t="str">
        <f t="shared" si="5"/>
        <v/>
      </c>
    </row>
    <row r="30" spans="2:36" s="30" customFormat="1" ht="15.75" x14ac:dyDescent="0.25">
      <c r="B30" s="36">
        <v>21</v>
      </c>
      <c r="C30" s="36">
        <v>23</v>
      </c>
      <c r="D30" s="36">
        <v>3</v>
      </c>
      <c r="E30" s="36"/>
      <c r="F30" s="12">
        <v>20</v>
      </c>
      <c r="G30" s="4">
        <f t="shared" ref="G30:G32" ca="1" si="8">INDIRECT(ADDRESS(B30+1,1,,,"Names"))</f>
        <v>0</v>
      </c>
      <c r="H30" s="19">
        <f t="shared" ref="H30:H32" ca="1" si="9">INDIRECT(ADDRESS(C30+1,1,,,"Names"))</f>
        <v>0</v>
      </c>
      <c r="I30" s="69">
        <f t="shared" ref="I30:I32" ca="1" si="10">INDIRECT(ADDRESS(D30+1,1,,,"Names"))</f>
        <v>3</v>
      </c>
      <c r="J30" s="92"/>
      <c r="K30" s="97"/>
      <c r="L30" s="76"/>
      <c r="M30" s="98"/>
      <c r="N30" s="32" t="str">
        <f t="shared" si="4"/>
        <v/>
      </c>
      <c r="O30" s="15" t="str">
        <f t="shared" si="4"/>
        <v/>
      </c>
      <c r="P30" s="15" t="str">
        <f t="shared" si="4"/>
        <v xml:space="preserve"> </v>
      </c>
      <c r="Q30" s="15" t="str">
        <f t="shared" si="4"/>
        <v/>
      </c>
      <c r="R30" s="15" t="str">
        <f t="shared" si="4"/>
        <v/>
      </c>
      <c r="S30" s="15" t="str">
        <f t="shared" si="4"/>
        <v/>
      </c>
      <c r="T30" s="15" t="str">
        <f t="shared" si="4"/>
        <v/>
      </c>
      <c r="U30" s="15" t="str">
        <f t="shared" si="4"/>
        <v/>
      </c>
      <c r="V30" s="15" t="str">
        <f t="shared" si="4"/>
        <v/>
      </c>
      <c r="W30" s="15" t="str">
        <f t="shared" si="4"/>
        <v/>
      </c>
      <c r="X30" s="15" t="str">
        <f t="shared" si="4"/>
        <v/>
      </c>
      <c r="Y30" s="15" t="str">
        <f t="shared" si="4"/>
        <v/>
      </c>
      <c r="Z30" s="15" t="str">
        <f t="shared" si="4"/>
        <v/>
      </c>
      <c r="AA30" s="15" t="str">
        <f t="shared" si="4"/>
        <v/>
      </c>
      <c r="AB30" s="15" t="str">
        <f t="shared" si="5"/>
        <v/>
      </c>
      <c r="AC30" s="15" t="str">
        <f t="shared" si="5"/>
        <v/>
      </c>
      <c r="AD30" s="15" t="str">
        <f t="shared" si="5"/>
        <v/>
      </c>
      <c r="AE30" s="15" t="str">
        <f t="shared" si="5"/>
        <v/>
      </c>
      <c r="AF30" s="15" t="str">
        <f t="shared" si="5"/>
        <v/>
      </c>
      <c r="AG30" s="15" t="str">
        <f t="shared" si="5"/>
        <v/>
      </c>
      <c r="AH30" s="15" t="str">
        <f t="shared" si="5"/>
        <v xml:space="preserve"> </v>
      </c>
      <c r="AI30" s="15" t="str">
        <f t="shared" si="5"/>
        <v/>
      </c>
      <c r="AJ30" s="5" t="str">
        <f t="shared" si="5"/>
        <v xml:space="preserve"> </v>
      </c>
    </row>
    <row r="31" spans="2:36" s="30" customFormat="1" ht="15.75" x14ac:dyDescent="0.25">
      <c r="B31" s="36">
        <v>22</v>
      </c>
      <c r="C31" s="36">
        <v>1</v>
      </c>
      <c r="D31" s="36">
        <v>4</v>
      </c>
      <c r="E31" s="36"/>
      <c r="F31" s="12">
        <v>20</v>
      </c>
      <c r="G31" s="4">
        <f t="shared" ca="1" si="8"/>
        <v>0</v>
      </c>
      <c r="H31" s="19">
        <f t="shared" ca="1" si="9"/>
        <v>1</v>
      </c>
      <c r="I31" s="69">
        <f t="shared" ca="1" si="10"/>
        <v>4</v>
      </c>
      <c r="J31" s="92"/>
      <c r="K31" s="97"/>
      <c r="L31" s="76"/>
      <c r="M31" s="98"/>
      <c r="N31" s="32" t="str">
        <f t="shared" ref="N31:AA32" si="11">IF(ISNA(MATCH(COLUMN()-13,$B31:$E31,0)),"",IF($K31=MATCH(COLUMN()-13,$B31:$E31,0),3,IF($L31=MATCH(COLUMN()-13,$B31:$E31,0),2,IF($M31=MATCH(COLUMN()-13,$B31:$E31,0),1," "))))</f>
        <v xml:space="preserve"> </v>
      </c>
      <c r="O31" s="15" t="str">
        <f t="shared" si="11"/>
        <v/>
      </c>
      <c r="P31" s="15" t="str">
        <f t="shared" si="11"/>
        <v/>
      </c>
      <c r="Q31" s="15" t="str">
        <f t="shared" si="11"/>
        <v xml:space="preserve"> </v>
      </c>
      <c r="R31" s="15" t="str">
        <f t="shared" si="11"/>
        <v/>
      </c>
      <c r="S31" s="15" t="str">
        <f t="shared" si="11"/>
        <v/>
      </c>
      <c r="T31" s="15" t="str">
        <f t="shared" si="11"/>
        <v/>
      </c>
      <c r="U31" s="15" t="str">
        <f t="shared" si="11"/>
        <v/>
      </c>
      <c r="V31" s="15" t="str">
        <f t="shared" si="11"/>
        <v/>
      </c>
      <c r="W31" s="15" t="str">
        <f t="shared" si="11"/>
        <v/>
      </c>
      <c r="X31" s="15" t="str">
        <f t="shared" si="11"/>
        <v/>
      </c>
      <c r="Y31" s="15" t="str">
        <f t="shared" si="11"/>
        <v/>
      </c>
      <c r="Z31" s="15" t="str">
        <f t="shared" si="11"/>
        <v/>
      </c>
      <c r="AA31" s="15" t="str">
        <f t="shared" si="11"/>
        <v/>
      </c>
      <c r="AB31" s="15" t="str">
        <f t="shared" si="5"/>
        <v/>
      </c>
      <c r="AC31" s="15" t="str">
        <f t="shared" si="5"/>
        <v/>
      </c>
      <c r="AD31" s="15" t="str">
        <f t="shared" si="5"/>
        <v/>
      </c>
      <c r="AE31" s="15" t="str">
        <f t="shared" si="5"/>
        <v/>
      </c>
      <c r="AF31" s="15" t="str">
        <f t="shared" si="5"/>
        <v/>
      </c>
      <c r="AG31" s="15" t="str">
        <f t="shared" si="5"/>
        <v/>
      </c>
      <c r="AH31" s="15" t="str">
        <f t="shared" si="5"/>
        <v/>
      </c>
      <c r="AI31" s="15" t="str">
        <f t="shared" si="5"/>
        <v xml:space="preserve"> </v>
      </c>
      <c r="AJ31" s="5" t="str">
        <f t="shared" si="5"/>
        <v/>
      </c>
    </row>
    <row r="32" spans="2:36" s="30" customFormat="1" ht="16.5" thickBot="1" x14ac:dyDescent="0.3">
      <c r="B32" s="36">
        <v>23</v>
      </c>
      <c r="C32" s="36">
        <v>2</v>
      </c>
      <c r="D32" s="36">
        <v>5</v>
      </c>
      <c r="E32" s="36"/>
      <c r="F32" s="13">
        <v>20</v>
      </c>
      <c r="G32" s="6">
        <f t="shared" ca="1" si="8"/>
        <v>0</v>
      </c>
      <c r="H32" s="39">
        <f t="shared" ca="1" si="9"/>
        <v>2</v>
      </c>
      <c r="I32" s="40">
        <f t="shared" ca="1" si="10"/>
        <v>5</v>
      </c>
      <c r="J32" s="93"/>
      <c r="K32" s="99"/>
      <c r="L32" s="100"/>
      <c r="M32" s="101"/>
      <c r="N32" s="20" t="str">
        <f t="shared" si="11"/>
        <v/>
      </c>
      <c r="O32" s="16" t="str">
        <f t="shared" si="11"/>
        <v xml:space="preserve"> </v>
      </c>
      <c r="P32" s="16" t="str">
        <f t="shared" si="11"/>
        <v/>
      </c>
      <c r="Q32" s="16" t="str">
        <f t="shared" si="11"/>
        <v/>
      </c>
      <c r="R32" s="16" t="str">
        <f t="shared" si="11"/>
        <v xml:space="preserve"> </v>
      </c>
      <c r="S32" s="16" t="str">
        <f t="shared" si="11"/>
        <v/>
      </c>
      <c r="T32" s="16" t="str">
        <f t="shared" si="11"/>
        <v/>
      </c>
      <c r="U32" s="16" t="str">
        <f t="shared" si="11"/>
        <v/>
      </c>
      <c r="V32" s="16" t="str">
        <f t="shared" si="11"/>
        <v/>
      </c>
      <c r="W32" s="16" t="str">
        <f t="shared" si="11"/>
        <v/>
      </c>
      <c r="X32" s="16" t="str">
        <f t="shared" si="11"/>
        <v/>
      </c>
      <c r="Y32" s="16" t="str">
        <f t="shared" si="11"/>
        <v/>
      </c>
      <c r="Z32" s="16" t="str">
        <f t="shared" si="11"/>
        <v/>
      </c>
      <c r="AA32" s="16" t="str">
        <f t="shared" si="11"/>
        <v/>
      </c>
      <c r="AB32" s="16" t="str">
        <f t="shared" si="5"/>
        <v/>
      </c>
      <c r="AC32" s="16" t="str">
        <f t="shared" si="5"/>
        <v/>
      </c>
      <c r="AD32" s="16" t="str">
        <f t="shared" si="5"/>
        <v/>
      </c>
      <c r="AE32" s="16" t="str">
        <f t="shared" si="5"/>
        <v/>
      </c>
      <c r="AF32" s="16" t="str">
        <f t="shared" si="5"/>
        <v/>
      </c>
      <c r="AG32" s="16" t="str">
        <f t="shared" si="5"/>
        <v/>
      </c>
      <c r="AH32" s="16" t="str">
        <f t="shared" si="5"/>
        <v/>
      </c>
      <c r="AI32" s="16" t="str">
        <f t="shared" si="5"/>
        <v/>
      </c>
      <c r="AJ32" s="43" t="str">
        <f t="shared" si="5"/>
        <v xml:space="preserve"> </v>
      </c>
    </row>
    <row r="33" spans="11:36" ht="15.75" x14ac:dyDescent="0.25">
      <c r="K33" s="151" t="s">
        <v>4</v>
      </c>
      <c r="L33" s="152"/>
      <c r="M33" s="153"/>
      <c r="N33" s="112" t="str">
        <f t="shared" ref="N33:AG33" si="12">IF(SUM(N10:N29)&lt;1," ",SUM(N10:N29))</f>
        <v xml:space="preserve"> </v>
      </c>
      <c r="O33" s="45" t="str">
        <f t="shared" si="12"/>
        <v xml:space="preserve"> </v>
      </c>
      <c r="P33" s="45" t="str">
        <f t="shared" si="12"/>
        <v xml:space="preserve"> </v>
      </c>
      <c r="Q33" s="45" t="str">
        <f t="shared" si="12"/>
        <v xml:space="preserve"> </v>
      </c>
      <c r="R33" s="45" t="str">
        <f t="shared" si="12"/>
        <v xml:space="preserve"> </v>
      </c>
      <c r="S33" s="45" t="str">
        <f t="shared" si="12"/>
        <v xml:space="preserve"> </v>
      </c>
      <c r="T33" s="45" t="str">
        <f t="shared" si="12"/>
        <v xml:space="preserve"> </v>
      </c>
      <c r="U33" s="45" t="str">
        <f t="shared" si="12"/>
        <v xml:space="preserve"> </v>
      </c>
      <c r="V33" s="45" t="str">
        <f t="shared" si="12"/>
        <v xml:space="preserve"> </v>
      </c>
      <c r="W33" s="45" t="str">
        <f t="shared" si="12"/>
        <v xml:space="preserve"> </v>
      </c>
      <c r="X33" s="45" t="str">
        <f t="shared" si="12"/>
        <v xml:space="preserve"> </v>
      </c>
      <c r="Y33" s="45" t="str">
        <f t="shared" si="12"/>
        <v xml:space="preserve"> </v>
      </c>
      <c r="Z33" s="45" t="str">
        <f t="shared" si="12"/>
        <v xml:space="preserve"> </v>
      </c>
      <c r="AA33" s="45" t="str">
        <f t="shared" si="12"/>
        <v xml:space="preserve"> </v>
      </c>
      <c r="AB33" s="45" t="str">
        <f t="shared" si="12"/>
        <v xml:space="preserve"> </v>
      </c>
      <c r="AC33" s="45" t="str">
        <f t="shared" si="12"/>
        <v xml:space="preserve"> </v>
      </c>
      <c r="AD33" s="45" t="str">
        <f t="shared" si="12"/>
        <v xml:space="preserve"> </v>
      </c>
      <c r="AE33" s="45" t="str">
        <f t="shared" si="12"/>
        <v xml:space="preserve"> </v>
      </c>
      <c r="AF33" s="45" t="str">
        <f t="shared" si="12"/>
        <v xml:space="preserve"> </v>
      </c>
      <c r="AG33" s="45" t="str">
        <f t="shared" si="12"/>
        <v xml:space="preserve"> </v>
      </c>
      <c r="AH33" s="45" t="str">
        <f t="shared" ref="AH33:AJ33" si="13">IF(SUM(AH10:AH29)&lt;1," ",SUM(AH10:AH29))</f>
        <v xml:space="preserve"> </v>
      </c>
      <c r="AI33" s="45" t="str">
        <f t="shared" si="13"/>
        <v xml:space="preserve"> </v>
      </c>
      <c r="AJ33" s="46" t="str">
        <f t="shared" si="13"/>
        <v xml:space="preserve"> </v>
      </c>
    </row>
    <row r="34" spans="11:36" ht="16.5" thickBot="1" x14ac:dyDescent="0.3">
      <c r="K34" s="141" t="s">
        <v>5</v>
      </c>
      <c r="L34" s="142"/>
      <c r="M34" s="143"/>
      <c r="N34" s="120" t="e">
        <f>RANK(N33,$N33:$AL33,0)</f>
        <v>#VALUE!</v>
      </c>
      <c r="O34" s="121" t="e">
        <f t="shared" ref="O34:AJ34" si="14">RANK(O33,$N33:$AL33,0)</f>
        <v>#VALUE!</v>
      </c>
      <c r="P34" s="121" t="e">
        <f t="shared" si="14"/>
        <v>#VALUE!</v>
      </c>
      <c r="Q34" s="121" t="e">
        <f t="shared" si="14"/>
        <v>#VALUE!</v>
      </c>
      <c r="R34" s="121" t="e">
        <f t="shared" si="14"/>
        <v>#VALUE!</v>
      </c>
      <c r="S34" s="121" t="e">
        <f t="shared" si="14"/>
        <v>#VALUE!</v>
      </c>
      <c r="T34" s="121" t="e">
        <f t="shared" si="14"/>
        <v>#VALUE!</v>
      </c>
      <c r="U34" s="121" t="e">
        <f t="shared" si="14"/>
        <v>#VALUE!</v>
      </c>
      <c r="V34" s="121" t="e">
        <f t="shared" si="14"/>
        <v>#VALUE!</v>
      </c>
      <c r="W34" s="121" t="e">
        <f t="shared" si="14"/>
        <v>#VALUE!</v>
      </c>
      <c r="X34" s="121" t="e">
        <f t="shared" si="14"/>
        <v>#VALUE!</v>
      </c>
      <c r="Y34" s="121" t="e">
        <f t="shared" si="14"/>
        <v>#VALUE!</v>
      </c>
      <c r="Z34" s="121" t="e">
        <f t="shared" si="14"/>
        <v>#VALUE!</v>
      </c>
      <c r="AA34" s="121" t="e">
        <f t="shared" si="14"/>
        <v>#VALUE!</v>
      </c>
      <c r="AB34" s="121" t="e">
        <f t="shared" si="14"/>
        <v>#VALUE!</v>
      </c>
      <c r="AC34" s="121" t="e">
        <f t="shared" si="14"/>
        <v>#VALUE!</v>
      </c>
      <c r="AD34" s="121" t="e">
        <f t="shared" si="14"/>
        <v>#VALUE!</v>
      </c>
      <c r="AE34" s="121" t="e">
        <f t="shared" si="14"/>
        <v>#VALUE!</v>
      </c>
      <c r="AF34" s="121" t="e">
        <f t="shared" si="14"/>
        <v>#VALUE!</v>
      </c>
      <c r="AG34" s="121" t="e">
        <f t="shared" si="14"/>
        <v>#VALUE!</v>
      </c>
      <c r="AH34" s="121" t="e">
        <f t="shared" si="14"/>
        <v>#VALUE!</v>
      </c>
      <c r="AI34" s="121" t="e">
        <f t="shared" si="14"/>
        <v>#VALUE!</v>
      </c>
      <c r="AJ34" s="122" t="e">
        <f t="shared" si="14"/>
        <v>#VALUE!</v>
      </c>
    </row>
    <row r="35" spans="11:36" x14ac:dyDescent="0.2">
      <c r="N35" s="7"/>
      <c r="O35" s="7"/>
      <c r="P35" s="7"/>
      <c r="Q35" s="7"/>
    </row>
    <row r="36" spans="11:36" s="31" customFormat="1" ht="135.75" customHeight="1" x14ac:dyDescent="0.2">
      <c r="N36" s="8" t="str">
        <f>+Names!$B$2</f>
        <v>Luke</v>
      </c>
      <c r="O36" s="8" t="str">
        <f>+Names!$B$3</f>
        <v>Ro</v>
      </c>
      <c r="P36" s="8" t="str">
        <f>+Names!$B$4</f>
        <v>Caleb</v>
      </c>
      <c r="Q36" s="8" t="str">
        <f>+Names!$B$5</f>
        <v>Zau</v>
      </c>
      <c r="R36" s="8" t="str">
        <f>+Names!$B$6</f>
        <v>Brady</v>
      </c>
      <c r="S36" s="8" t="str">
        <f>+Names!$B$7</f>
        <v>Theo</v>
      </c>
      <c r="T36" s="8" t="str">
        <f>+Names!$B$8</f>
        <v>Jonathan</v>
      </c>
      <c r="U36" s="8" t="str">
        <f>+Names!$B$9</f>
        <v>Brenton</v>
      </c>
      <c r="V36" s="8" t="str">
        <f>+Names!$B$10</f>
        <v>Jospe</v>
      </c>
      <c r="W36" s="8" t="str">
        <f>+Names!$B$11</f>
        <v>Emery</v>
      </c>
      <c r="X36" s="8" t="str">
        <f>+Names!$B$12</f>
        <v>Isaac</v>
      </c>
      <c r="Y36" s="8" t="str">
        <f>+Names!$B$13</f>
        <v>Alain</v>
      </c>
      <c r="Z36" s="8" t="str">
        <f>+Names!$B$14</f>
        <v>Silas</v>
      </c>
      <c r="AA36" s="8" t="str">
        <f>+Names!$B$15</f>
        <v>De</v>
      </c>
      <c r="AB36" s="8">
        <f>+Names!$B$19</f>
        <v>0</v>
      </c>
      <c r="AC36" s="8">
        <f>+Names!$B$20</f>
        <v>0</v>
      </c>
      <c r="AD36" s="8">
        <f>+Names!$B$18</f>
        <v>0</v>
      </c>
      <c r="AE36" s="8" t="e">
        <f>+Names!#REF!</f>
        <v>#REF!</v>
      </c>
      <c r="AF36" s="8" t="e">
        <f>+Names!#REF!</f>
        <v>#REF!</v>
      </c>
      <c r="AG36" s="8">
        <f>+Names!$B$21</f>
        <v>0</v>
      </c>
      <c r="AH36" s="8">
        <f>+Names!$B$22</f>
        <v>0</v>
      </c>
      <c r="AI36" s="8">
        <f>+Names!$B$23</f>
        <v>0</v>
      </c>
      <c r="AJ36" s="8">
        <f>+Names!$B$24</f>
        <v>0</v>
      </c>
    </row>
  </sheetData>
  <sheetProtection sheet="1" objects="1" scenarios="1" selectLockedCells="1"/>
  <mergeCells count="20">
    <mergeCell ref="K34:M34"/>
    <mergeCell ref="F4:G4"/>
    <mergeCell ref="M4:N4"/>
    <mergeCell ref="S4:U4"/>
    <mergeCell ref="F5:G5"/>
    <mergeCell ref="M5:N5"/>
    <mergeCell ref="S5:U5"/>
    <mergeCell ref="M6:N6"/>
    <mergeCell ref="G8:I8"/>
    <mergeCell ref="K8:M8"/>
    <mergeCell ref="N8:AG8"/>
    <mergeCell ref="K33:M33"/>
    <mergeCell ref="F3:G3"/>
    <mergeCell ref="M3:N3"/>
    <mergeCell ref="S3:U3"/>
    <mergeCell ref="F1:AB1"/>
    <mergeCell ref="F2:G2"/>
    <mergeCell ref="I2:L2"/>
    <mergeCell ref="M2:N2"/>
    <mergeCell ref="R2:U2"/>
  </mergeCells>
  <conditionalFormatting sqref="F10:F32">
    <cfRule type="expression" dxfId="499" priority="28" stopIfTrue="1">
      <formula>$H$2=F10</formula>
    </cfRule>
  </conditionalFormatting>
  <conditionalFormatting sqref="G10">
    <cfRule type="expression" dxfId="498" priority="10" stopIfTrue="1">
      <formula>$K$10=1</formula>
    </cfRule>
    <cfRule type="expression" dxfId="497" priority="11" stopIfTrue="1">
      <formula>$L$10=1</formula>
    </cfRule>
    <cfRule type="expression" dxfId="496" priority="12" stopIfTrue="1">
      <formula>$M$10=1</formula>
    </cfRule>
  </conditionalFormatting>
  <conditionalFormatting sqref="G11:G32">
    <cfRule type="expression" dxfId="495" priority="13" stopIfTrue="1">
      <formula>K11=1</formula>
    </cfRule>
    <cfRule type="expression" dxfId="494" priority="14" stopIfTrue="1">
      <formula>L11=1</formula>
    </cfRule>
    <cfRule type="expression" dxfId="493" priority="15" stopIfTrue="1">
      <formula>M11=1</formula>
    </cfRule>
  </conditionalFormatting>
  <conditionalFormatting sqref="H10:H32">
    <cfRule type="expression" dxfId="492" priority="16" stopIfTrue="1">
      <formula>K10=2</formula>
    </cfRule>
    <cfRule type="expression" dxfId="491" priority="17" stopIfTrue="1">
      <formula>L10=2</formula>
    </cfRule>
    <cfRule type="expression" dxfId="490" priority="18" stopIfTrue="1">
      <formula>M10=2</formula>
    </cfRule>
  </conditionalFormatting>
  <conditionalFormatting sqref="I10:I32">
    <cfRule type="expression" dxfId="489" priority="19" stopIfTrue="1">
      <formula>K10=3</formula>
    </cfRule>
    <cfRule type="expression" dxfId="488" priority="20" stopIfTrue="1">
      <formula>L10=3</formula>
    </cfRule>
    <cfRule type="expression" dxfId="487" priority="21" stopIfTrue="1">
      <formula>M10=3</formula>
    </cfRule>
  </conditionalFormatting>
  <conditionalFormatting sqref="I3:N6">
    <cfRule type="expression" dxfId="486" priority="25" stopIfTrue="1">
      <formula>$M3="1st"</formula>
    </cfRule>
    <cfRule type="expression" dxfId="485" priority="26" stopIfTrue="1">
      <formula>$M3="2nd"</formula>
    </cfRule>
    <cfRule type="expression" dxfId="484" priority="27" stopIfTrue="1">
      <formula>$M3="3rd"</formula>
    </cfRule>
  </conditionalFormatting>
  <conditionalFormatting sqref="J10:J32">
    <cfRule type="expression" dxfId="483" priority="22" stopIfTrue="1">
      <formula>K10=4</formula>
    </cfRule>
    <cfRule type="expression" dxfId="482" priority="23" stopIfTrue="1">
      <formula>L10=4</formula>
    </cfRule>
    <cfRule type="expression" dxfId="481" priority="24" stopIfTrue="1">
      <formula>M10=4</formula>
    </cfRule>
  </conditionalFormatting>
  <conditionalFormatting sqref="N10:AJ32">
    <cfRule type="cellIs" dxfId="480" priority="7" stopIfTrue="1" operator="equal">
      <formula>3</formula>
    </cfRule>
    <cfRule type="cellIs" dxfId="479" priority="8" stopIfTrue="1" operator="equal">
      <formula>2</formula>
    </cfRule>
    <cfRule type="cellIs" dxfId="478" priority="9" stopIfTrue="1" operator="equal">
      <formula>1</formula>
    </cfRule>
  </conditionalFormatting>
  <conditionalFormatting sqref="N34:AJ34">
    <cfRule type="cellIs" dxfId="477" priority="1" operator="equal">
      <formula>3</formula>
    </cfRule>
    <cfRule type="cellIs" dxfId="476" priority="2" operator="equal">
      <formula>2</formula>
    </cfRule>
    <cfRule type="cellIs" dxfId="475" priority="3" operator="equal">
      <formula>1</formula>
    </cfRule>
  </conditionalFormatting>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6F7B-A32B-4B3A-9491-A5D69B575312}">
  <dimension ref="B1:AI35"/>
  <sheetViews>
    <sheetView showGridLines="0" zoomScaleNormal="100" workbookViewId="0">
      <selection activeCell="K10" sqref="K10"/>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5" width="4.7109375" customWidth="1"/>
  </cols>
  <sheetData>
    <row r="1" spans="2:35"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5" s="29" customFormat="1" ht="22.5" x14ac:dyDescent="0.45">
      <c r="F2" s="133" t="s">
        <v>2</v>
      </c>
      <c r="G2" s="134"/>
      <c r="H2" s="47">
        <v>1</v>
      </c>
      <c r="I2" s="135" t="str">
        <f>+Names!$C$1</f>
        <v>Driver</v>
      </c>
      <c r="J2" s="136"/>
      <c r="K2" s="136"/>
      <c r="L2" s="137"/>
      <c r="M2" s="130" t="s">
        <v>8</v>
      </c>
      <c r="N2" s="130"/>
      <c r="R2" s="138" t="s">
        <v>12</v>
      </c>
      <c r="S2" s="139"/>
      <c r="T2" s="139"/>
      <c r="U2" s="140"/>
    </row>
    <row r="3" spans="2:35"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5"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5"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5" s="29" customFormat="1" ht="18.75" hidden="1" x14ac:dyDescent="0.3">
      <c r="E6" s="17"/>
      <c r="F6" s="55"/>
      <c r="G6" s="56"/>
      <c r="H6" s="3"/>
      <c r="I6" s="84"/>
      <c r="J6" s="85"/>
      <c r="K6" s="85"/>
      <c r="L6" s="86"/>
      <c r="M6" s="130"/>
      <c r="N6" s="130"/>
      <c r="R6"/>
      <c r="S6" s="26"/>
      <c r="T6" s="26"/>
      <c r="U6" s="26"/>
    </row>
    <row r="7" spans="2:35" ht="13.5" thickBot="1" x14ac:dyDescent="0.25">
      <c r="E7" s="28"/>
    </row>
    <row r="8" spans="2:35"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c r="AH8" s="113"/>
      <c r="AI8" s="113"/>
    </row>
    <row r="9" spans="2:35"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c r="AH9" s="58">
        <f>+Names!$A$22</f>
        <v>0</v>
      </c>
      <c r="AI9" s="58">
        <f>+Names!$A$23</f>
        <v>0</v>
      </c>
    </row>
    <row r="10" spans="2:35" s="30" customFormat="1" ht="15.75" x14ac:dyDescent="0.25">
      <c r="B10" s="36">
        <v>1</v>
      </c>
      <c r="C10" s="36">
        <v>3</v>
      </c>
      <c r="D10" s="36">
        <v>6</v>
      </c>
      <c r="E10" s="36"/>
      <c r="F10" s="11">
        <v>1</v>
      </c>
      <c r="G10" s="37">
        <f ca="1">INDIRECT(ADDRESS(B10+1,1,,,"Names"))</f>
        <v>1</v>
      </c>
      <c r="H10" s="18">
        <f t="shared" ref="H10:I2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8"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B10:AI25" si="2">IF(ISNA(MATCH(COLUMN()-13,$B10:$E10,0)),"",IF($K10=MATCH(COLUMN()-13,$B10:$E10,0),3,IF($L10=MATCH(COLUMN()-13,$B10:$E10,0),2,IF($M10=MATCH(COLUMN()-13,$B10:$E10,0),1," "))))</f>
        <v/>
      </c>
      <c r="AF10" s="52" t="str">
        <f t="shared" si="2"/>
        <v/>
      </c>
      <c r="AG10" s="52" t="str">
        <f t="shared" si="2"/>
        <v/>
      </c>
      <c r="AH10" s="52" t="str">
        <f t="shared" si="2"/>
        <v/>
      </c>
      <c r="AI10" s="53" t="str">
        <f t="shared" si="2"/>
        <v/>
      </c>
    </row>
    <row r="11" spans="2:35" s="30" customFormat="1" ht="15.75" x14ac:dyDescent="0.25">
      <c r="B11" s="36">
        <v>2</v>
      </c>
      <c r="C11" s="36">
        <v>4</v>
      </c>
      <c r="D11" s="36">
        <v>7</v>
      </c>
      <c r="E11" s="36"/>
      <c r="F11" s="12">
        <v>2</v>
      </c>
      <c r="G11" s="4">
        <f t="shared" ref="G11:I26" ca="1" si="3">INDIRECT(ADDRESS(B11+1,1,,,"Names"))</f>
        <v>2</v>
      </c>
      <c r="H11" s="19">
        <f t="shared" ca="1" si="0"/>
        <v>4</v>
      </c>
      <c r="I11" s="69">
        <f t="shared" ca="1" si="0"/>
        <v>7</v>
      </c>
      <c r="J11" s="92"/>
      <c r="K11" s="97"/>
      <c r="L11" s="76"/>
      <c r="M11" s="98"/>
      <c r="N11" s="32" t="str">
        <f t="shared" ref="N11:AA30"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15" t="str">
        <f t="shared" si="2"/>
        <v/>
      </c>
      <c r="AH11" s="15" t="str">
        <f t="shared" si="2"/>
        <v/>
      </c>
      <c r="AI11" s="5" t="str">
        <f t="shared" si="2"/>
        <v/>
      </c>
    </row>
    <row r="12" spans="2:35"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15" t="str">
        <f t="shared" si="2"/>
        <v/>
      </c>
      <c r="AH12" s="15" t="str">
        <f t="shared" si="2"/>
        <v/>
      </c>
      <c r="AI12" s="5" t="str">
        <f t="shared" si="2"/>
        <v/>
      </c>
    </row>
    <row r="13" spans="2:35"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15" t="str">
        <f t="shared" si="2"/>
        <v/>
      </c>
      <c r="AH13" s="15" t="str">
        <f t="shared" si="2"/>
        <v/>
      </c>
      <c r="AI13" s="5" t="str">
        <f t="shared" si="2"/>
        <v/>
      </c>
    </row>
    <row r="14" spans="2:35"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2"/>
        <v/>
      </c>
      <c r="AC14" s="15" t="str">
        <f t="shared" si="2"/>
        <v/>
      </c>
      <c r="AD14" s="15" t="str">
        <f t="shared" si="2"/>
        <v/>
      </c>
      <c r="AE14" s="15" t="str">
        <f t="shared" si="2"/>
        <v/>
      </c>
      <c r="AF14" s="15" t="str">
        <f t="shared" si="2"/>
        <v/>
      </c>
      <c r="AG14" s="15" t="str">
        <f t="shared" si="2"/>
        <v/>
      </c>
      <c r="AH14" s="15" t="str">
        <f t="shared" si="2"/>
        <v/>
      </c>
      <c r="AI14" s="5" t="str">
        <f t="shared" si="2"/>
        <v/>
      </c>
    </row>
    <row r="15" spans="2:35"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2"/>
        <v/>
      </c>
      <c r="AC15" s="15" t="str">
        <f t="shared" si="2"/>
        <v/>
      </c>
      <c r="AD15" s="15" t="str">
        <f t="shared" si="2"/>
        <v/>
      </c>
      <c r="AE15" s="15" t="str">
        <f t="shared" si="2"/>
        <v/>
      </c>
      <c r="AF15" s="15" t="str">
        <f t="shared" si="2"/>
        <v/>
      </c>
      <c r="AG15" s="15" t="str">
        <f t="shared" si="2"/>
        <v/>
      </c>
      <c r="AH15" s="15" t="str">
        <f t="shared" si="2"/>
        <v/>
      </c>
      <c r="AI15" s="5" t="str">
        <f t="shared" si="2"/>
        <v/>
      </c>
    </row>
    <row r="16" spans="2:35"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2"/>
        <v/>
      </c>
      <c r="AC16" s="15" t="str">
        <f t="shared" si="2"/>
        <v/>
      </c>
      <c r="AD16" s="15" t="str">
        <f t="shared" si="2"/>
        <v/>
      </c>
      <c r="AE16" s="15" t="str">
        <f t="shared" si="2"/>
        <v/>
      </c>
      <c r="AF16" s="15" t="str">
        <f t="shared" si="2"/>
        <v/>
      </c>
      <c r="AG16" s="15" t="str">
        <f t="shared" si="2"/>
        <v/>
      </c>
      <c r="AH16" s="15" t="str">
        <f t="shared" si="2"/>
        <v/>
      </c>
      <c r="AI16" s="5" t="str">
        <f t="shared" si="2"/>
        <v/>
      </c>
    </row>
    <row r="17" spans="2:35"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2"/>
        <v/>
      </c>
      <c r="AC17" s="15" t="str">
        <f t="shared" si="2"/>
        <v/>
      </c>
      <c r="AD17" s="15" t="str">
        <f t="shared" si="2"/>
        <v/>
      </c>
      <c r="AE17" s="15" t="str">
        <f t="shared" si="2"/>
        <v/>
      </c>
      <c r="AF17" s="15" t="str">
        <f t="shared" si="2"/>
        <v/>
      </c>
      <c r="AG17" s="15" t="str">
        <f t="shared" si="2"/>
        <v/>
      </c>
      <c r="AH17" s="15" t="str">
        <f t="shared" si="2"/>
        <v/>
      </c>
      <c r="AI17" s="5" t="str">
        <f t="shared" si="2"/>
        <v/>
      </c>
    </row>
    <row r="18" spans="2:35"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2"/>
        <v/>
      </c>
      <c r="AC18" s="15" t="str">
        <f t="shared" si="2"/>
        <v/>
      </c>
      <c r="AD18" s="15" t="str">
        <f t="shared" si="2"/>
        <v/>
      </c>
      <c r="AE18" s="15" t="str">
        <f t="shared" si="2"/>
        <v/>
      </c>
      <c r="AF18" s="15" t="str">
        <f t="shared" si="2"/>
        <v/>
      </c>
      <c r="AG18" s="15" t="str">
        <f t="shared" si="2"/>
        <v/>
      </c>
      <c r="AH18" s="15" t="str">
        <f t="shared" si="2"/>
        <v/>
      </c>
      <c r="AI18" s="5" t="str">
        <f t="shared" si="2"/>
        <v/>
      </c>
    </row>
    <row r="19" spans="2:35" s="30" customFormat="1" ht="15.75" x14ac:dyDescent="0.25">
      <c r="B19" s="36">
        <v>10</v>
      </c>
      <c r="C19" s="36">
        <v>12</v>
      </c>
      <c r="D19" s="36">
        <v>15</v>
      </c>
      <c r="E19" s="36"/>
      <c r="F19" s="12">
        <v>10</v>
      </c>
      <c r="G19" s="4">
        <f t="shared" ca="1" si="3"/>
        <v>13</v>
      </c>
      <c r="H19" s="19">
        <f t="shared" ca="1" si="0"/>
        <v>23</v>
      </c>
      <c r="I19" s="69">
        <f t="shared" ca="1" si="0"/>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2"/>
        <v xml:space="preserve"> </v>
      </c>
      <c r="AC19" s="15" t="str">
        <f t="shared" si="2"/>
        <v/>
      </c>
      <c r="AD19" s="15" t="str">
        <f t="shared" si="2"/>
        <v/>
      </c>
      <c r="AE19" s="15" t="str">
        <f t="shared" si="2"/>
        <v/>
      </c>
      <c r="AF19" s="15" t="str">
        <f t="shared" si="2"/>
        <v/>
      </c>
      <c r="AG19" s="15" t="str">
        <f t="shared" si="2"/>
        <v/>
      </c>
      <c r="AH19" s="15" t="str">
        <f t="shared" si="2"/>
        <v/>
      </c>
      <c r="AI19" s="5" t="str">
        <f t="shared" si="2"/>
        <v/>
      </c>
    </row>
    <row r="20" spans="2:35" s="30" customFormat="1" ht="15.75" x14ac:dyDescent="0.25">
      <c r="B20" s="36">
        <v>11</v>
      </c>
      <c r="C20" s="36">
        <v>13</v>
      </c>
      <c r="D20" s="36">
        <v>16</v>
      </c>
      <c r="E20" s="36"/>
      <c r="F20" s="12">
        <v>11</v>
      </c>
      <c r="G20" s="4">
        <f t="shared" ca="1" si="3"/>
        <v>14</v>
      </c>
      <c r="H20" s="19">
        <f t="shared" ca="1" si="0"/>
        <v>30</v>
      </c>
      <c r="I20" s="69">
        <f t="shared" ca="1" si="0"/>
        <v>99</v>
      </c>
      <c r="J20" s="92"/>
      <c r="K20" s="97"/>
      <c r="L20" s="76"/>
      <c r="M20" s="98"/>
      <c r="N20" s="32" t="str">
        <f t="shared" si="4"/>
        <v/>
      </c>
      <c r="O20" s="15" t="str">
        <f t="shared" si="1"/>
        <v/>
      </c>
      <c r="P20" s="15" t="str">
        <f t="shared" si="1"/>
        <v/>
      </c>
      <c r="Q20" s="15" t="str">
        <f t="shared" si="1"/>
        <v/>
      </c>
      <c r="R20" s="15" t="str">
        <f t="shared" si="1"/>
        <v/>
      </c>
      <c r="S20" s="15" t="str">
        <f t="shared" si="1"/>
        <v/>
      </c>
      <c r="T20" s="15" t="str">
        <f t="shared" si="1"/>
        <v/>
      </c>
      <c r="U20" s="15" t="str">
        <f t="shared" si="1"/>
        <v/>
      </c>
      <c r="V20" s="15" t="str">
        <f t="shared" si="1"/>
        <v/>
      </c>
      <c r="W20" s="15" t="str">
        <f t="shared" si="1"/>
        <v/>
      </c>
      <c r="X20" s="15" t="str">
        <f t="shared" si="1"/>
        <v xml:space="preserve"> </v>
      </c>
      <c r="Y20" s="15" t="str">
        <f t="shared" si="1"/>
        <v/>
      </c>
      <c r="Z20" s="15" t="str">
        <f t="shared" si="1"/>
        <v xml:space="preserve"> </v>
      </c>
      <c r="AA20" s="15" t="str">
        <f t="shared" si="1"/>
        <v/>
      </c>
      <c r="AB20" s="15" t="str">
        <f t="shared" si="2"/>
        <v/>
      </c>
      <c r="AC20" s="15" t="str">
        <f t="shared" si="2"/>
        <v xml:space="preserve"> </v>
      </c>
      <c r="AD20" s="15" t="str">
        <f t="shared" si="2"/>
        <v/>
      </c>
      <c r="AE20" s="15" t="str">
        <f t="shared" si="2"/>
        <v/>
      </c>
      <c r="AF20" s="15" t="str">
        <f t="shared" si="2"/>
        <v/>
      </c>
      <c r="AG20" s="15" t="str">
        <f t="shared" si="2"/>
        <v/>
      </c>
      <c r="AH20" s="15" t="str">
        <f t="shared" si="2"/>
        <v/>
      </c>
      <c r="AI20" s="5" t="str">
        <f t="shared" si="2"/>
        <v/>
      </c>
    </row>
    <row r="21" spans="2:35" s="30" customFormat="1" ht="15.75" x14ac:dyDescent="0.25">
      <c r="B21" s="36">
        <v>12</v>
      </c>
      <c r="C21" s="36">
        <v>14</v>
      </c>
      <c r="D21" s="36">
        <v>17</v>
      </c>
      <c r="E21" s="36"/>
      <c r="F21" s="12">
        <v>12</v>
      </c>
      <c r="G21" s="4">
        <f t="shared" ca="1" si="3"/>
        <v>23</v>
      </c>
      <c r="H21" s="19">
        <f t="shared" ca="1" si="0"/>
        <v>37</v>
      </c>
      <c r="I21" s="69">
        <f t="shared" ca="1" si="0"/>
        <v>0</v>
      </c>
      <c r="J21" s="92"/>
      <c r="K21" s="97"/>
      <c r="L21" s="76"/>
      <c r="M21" s="98"/>
      <c r="N21" s="32" t="str">
        <f t="shared" si="4"/>
        <v/>
      </c>
      <c r="O21" s="15" t="str">
        <f t="shared" si="1"/>
        <v/>
      </c>
      <c r="P21" s="15" t="str">
        <f t="shared" si="1"/>
        <v/>
      </c>
      <c r="Q21" s="15" t="str">
        <f t="shared" si="1"/>
        <v/>
      </c>
      <c r="R21" s="15" t="str">
        <f t="shared" si="1"/>
        <v/>
      </c>
      <c r="S21" s="15" t="str">
        <f t="shared" si="1"/>
        <v/>
      </c>
      <c r="T21" s="15" t="str">
        <f t="shared" si="1"/>
        <v/>
      </c>
      <c r="U21" s="15" t="str">
        <f t="shared" si="1"/>
        <v/>
      </c>
      <c r="V21" s="15" t="str">
        <f t="shared" si="1"/>
        <v/>
      </c>
      <c r="W21" s="15" t="str">
        <f t="shared" si="1"/>
        <v/>
      </c>
      <c r="X21" s="15" t="str">
        <f t="shared" si="1"/>
        <v/>
      </c>
      <c r="Y21" s="15" t="str">
        <f t="shared" si="1"/>
        <v xml:space="preserve"> </v>
      </c>
      <c r="Z21" s="15" t="str">
        <f t="shared" si="1"/>
        <v/>
      </c>
      <c r="AA21" s="15" t="str">
        <f t="shared" si="1"/>
        <v xml:space="preserve"> </v>
      </c>
      <c r="AB21" s="15" t="str">
        <f t="shared" si="2"/>
        <v/>
      </c>
      <c r="AC21" s="15" t="str">
        <f t="shared" si="2"/>
        <v/>
      </c>
      <c r="AD21" s="15" t="str">
        <f t="shared" si="2"/>
        <v xml:space="preserve"> </v>
      </c>
      <c r="AE21" s="15" t="str">
        <f t="shared" si="2"/>
        <v/>
      </c>
      <c r="AF21" s="15" t="str">
        <f t="shared" si="2"/>
        <v/>
      </c>
      <c r="AG21" s="15" t="str">
        <f t="shared" si="2"/>
        <v/>
      </c>
      <c r="AH21" s="15" t="str">
        <f t="shared" si="2"/>
        <v/>
      </c>
      <c r="AI21" s="5" t="str">
        <f t="shared" si="2"/>
        <v/>
      </c>
    </row>
    <row r="22" spans="2:35" s="30" customFormat="1" ht="15.75" x14ac:dyDescent="0.25">
      <c r="B22" s="36">
        <v>13</v>
      </c>
      <c r="C22" s="36">
        <v>15</v>
      </c>
      <c r="D22" s="36">
        <v>18</v>
      </c>
      <c r="E22" s="36"/>
      <c r="F22" s="12">
        <v>13</v>
      </c>
      <c r="G22" s="4">
        <f t="shared" ca="1" si="3"/>
        <v>30</v>
      </c>
      <c r="H22" s="19">
        <f t="shared" ca="1" si="0"/>
        <v>49</v>
      </c>
      <c r="I22" s="69">
        <f t="shared" ca="1" si="0"/>
        <v>0</v>
      </c>
      <c r="J22" s="92"/>
      <c r="K22" s="97"/>
      <c r="L22" s="76"/>
      <c r="M22" s="98"/>
      <c r="N22" s="32" t="str">
        <f t="shared" si="4"/>
        <v/>
      </c>
      <c r="O22" s="15" t="str">
        <f t="shared" si="1"/>
        <v/>
      </c>
      <c r="P22" s="15" t="str">
        <f t="shared" si="1"/>
        <v/>
      </c>
      <c r="Q22" s="15" t="str">
        <f t="shared" si="1"/>
        <v/>
      </c>
      <c r="R22" s="15" t="str">
        <f t="shared" si="1"/>
        <v/>
      </c>
      <c r="S22" s="15" t="str">
        <f t="shared" si="1"/>
        <v/>
      </c>
      <c r="T22" s="15" t="str">
        <f t="shared" si="1"/>
        <v/>
      </c>
      <c r="U22" s="15" t="str">
        <f t="shared" si="1"/>
        <v/>
      </c>
      <c r="V22" s="15" t="str">
        <f t="shared" si="1"/>
        <v/>
      </c>
      <c r="W22" s="15" t="str">
        <f t="shared" si="1"/>
        <v/>
      </c>
      <c r="X22" s="15" t="str">
        <f t="shared" si="1"/>
        <v/>
      </c>
      <c r="Y22" s="15" t="str">
        <f t="shared" si="1"/>
        <v/>
      </c>
      <c r="Z22" s="15" t="str">
        <f t="shared" si="1"/>
        <v xml:space="preserve"> </v>
      </c>
      <c r="AA22" s="15" t="str">
        <f t="shared" si="1"/>
        <v/>
      </c>
      <c r="AB22" s="15" t="str">
        <f t="shared" si="2"/>
        <v xml:space="preserve"> </v>
      </c>
      <c r="AC22" s="15" t="str">
        <f t="shared" si="2"/>
        <v/>
      </c>
      <c r="AD22" s="15" t="str">
        <f t="shared" si="2"/>
        <v/>
      </c>
      <c r="AE22" s="15" t="str">
        <f t="shared" si="2"/>
        <v xml:space="preserve"> </v>
      </c>
      <c r="AF22" s="15" t="str">
        <f t="shared" si="2"/>
        <v/>
      </c>
      <c r="AG22" s="15" t="str">
        <f t="shared" si="2"/>
        <v/>
      </c>
      <c r="AH22" s="15" t="str">
        <f t="shared" si="2"/>
        <v/>
      </c>
      <c r="AI22" s="5" t="str">
        <f t="shared" si="2"/>
        <v/>
      </c>
    </row>
    <row r="23" spans="2:35" s="30" customFormat="1" ht="15.75" x14ac:dyDescent="0.25">
      <c r="B23" s="36">
        <v>14</v>
      </c>
      <c r="C23" s="36">
        <v>16</v>
      </c>
      <c r="D23" s="36">
        <v>19</v>
      </c>
      <c r="E23" s="36"/>
      <c r="F23" s="12">
        <v>14</v>
      </c>
      <c r="G23" s="4">
        <f t="shared" ca="1" si="3"/>
        <v>37</v>
      </c>
      <c r="H23" s="19">
        <f t="shared" ca="1" si="0"/>
        <v>99</v>
      </c>
      <c r="I23" s="69">
        <f t="shared" ca="1" si="0"/>
        <v>0</v>
      </c>
      <c r="J23" s="92"/>
      <c r="K23" s="97"/>
      <c r="L23" s="76"/>
      <c r="M23" s="98"/>
      <c r="N23" s="32" t="str">
        <f t="shared" si="4"/>
        <v/>
      </c>
      <c r="O23" s="15" t="str">
        <f t="shared" si="1"/>
        <v/>
      </c>
      <c r="P23" s="15" t="str">
        <f t="shared" si="1"/>
        <v/>
      </c>
      <c r="Q23" s="15" t="str">
        <f t="shared" si="1"/>
        <v/>
      </c>
      <c r="R23" s="15" t="str">
        <f t="shared" si="1"/>
        <v/>
      </c>
      <c r="S23" s="15" t="str">
        <f t="shared" si="1"/>
        <v/>
      </c>
      <c r="T23" s="15" t="str">
        <f t="shared" si="1"/>
        <v/>
      </c>
      <c r="U23" s="15" t="str">
        <f t="shared" si="1"/>
        <v/>
      </c>
      <c r="V23" s="15" t="str">
        <f t="shared" si="1"/>
        <v/>
      </c>
      <c r="W23" s="15" t="str">
        <f t="shared" si="1"/>
        <v/>
      </c>
      <c r="X23" s="15" t="str">
        <f t="shared" si="1"/>
        <v/>
      </c>
      <c r="Y23" s="15" t="str">
        <f t="shared" si="1"/>
        <v/>
      </c>
      <c r="Z23" s="15" t="str">
        <f t="shared" si="1"/>
        <v/>
      </c>
      <c r="AA23" s="15" t="str">
        <f t="shared" si="1"/>
        <v xml:space="preserve"> </v>
      </c>
      <c r="AB23" s="15" t="str">
        <f t="shared" si="2"/>
        <v/>
      </c>
      <c r="AC23" s="15" t="str">
        <f t="shared" si="2"/>
        <v xml:space="preserve"> </v>
      </c>
      <c r="AD23" s="15" t="str">
        <f t="shared" si="2"/>
        <v/>
      </c>
      <c r="AE23" s="15" t="str">
        <f t="shared" si="2"/>
        <v/>
      </c>
      <c r="AF23" s="15" t="str">
        <f t="shared" si="2"/>
        <v xml:space="preserve"> </v>
      </c>
      <c r="AG23" s="15" t="str">
        <f t="shared" si="2"/>
        <v/>
      </c>
      <c r="AH23" s="15" t="str">
        <f t="shared" si="2"/>
        <v/>
      </c>
      <c r="AI23" s="5" t="str">
        <f t="shared" si="2"/>
        <v/>
      </c>
    </row>
    <row r="24" spans="2:35" s="30" customFormat="1" ht="15.75" x14ac:dyDescent="0.25">
      <c r="B24" s="36">
        <v>15</v>
      </c>
      <c r="C24" s="36">
        <v>17</v>
      </c>
      <c r="D24" s="36">
        <v>20</v>
      </c>
      <c r="E24" s="36"/>
      <c r="F24" s="12">
        <v>15</v>
      </c>
      <c r="G24" s="4">
        <f t="shared" ca="1" si="3"/>
        <v>49</v>
      </c>
      <c r="H24" s="19">
        <f t="shared" ca="1" si="0"/>
        <v>0</v>
      </c>
      <c r="I24" s="69">
        <f t="shared" ca="1" si="0"/>
        <v>0</v>
      </c>
      <c r="J24" s="92"/>
      <c r="K24" s="97"/>
      <c r="L24" s="76"/>
      <c r="M24" s="98"/>
      <c r="N24" s="32" t="str">
        <f t="shared" si="4"/>
        <v/>
      </c>
      <c r="O24" s="15" t="str">
        <f t="shared" si="1"/>
        <v/>
      </c>
      <c r="P24" s="15" t="str">
        <f t="shared" si="1"/>
        <v/>
      </c>
      <c r="Q24" s="15" t="str">
        <f t="shared" si="1"/>
        <v/>
      </c>
      <c r="R24" s="15" t="str">
        <f t="shared" si="1"/>
        <v/>
      </c>
      <c r="S24" s="15" t="str">
        <f t="shared" si="1"/>
        <v/>
      </c>
      <c r="T24" s="15" t="str">
        <f t="shared" si="1"/>
        <v/>
      </c>
      <c r="U24" s="15" t="str">
        <f t="shared" si="1"/>
        <v/>
      </c>
      <c r="V24" s="15" t="str">
        <f t="shared" si="1"/>
        <v/>
      </c>
      <c r="W24" s="15" t="str">
        <f t="shared" si="1"/>
        <v/>
      </c>
      <c r="X24" s="15" t="str">
        <f t="shared" si="1"/>
        <v/>
      </c>
      <c r="Y24" s="15" t="str">
        <f t="shared" si="1"/>
        <v/>
      </c>
      <c r="Z24" s="15" t="str">
        <f t="shared" si="1"/>
        <v/>
      </c>
      <c r="AA24" s="15" t="str">
        <f t="shared" si="1"/>
        <v/>
      </c>
      <c r="AB24" s="15" t="str">
        <f t="shared" si="2"/>
        <v xml:space="preserve"> </v>
      </c>
      <c r="AC24" s="15" t="str">
        <f t="shared" si="2"/>
        <v/>
      </c>
      <c r="AD24" s="15" t="str">
        <f t="shared" si="2"/>
        <v xml:space="preserve"> </v>
      </c>
      <c r="AE24" s="15" t="str">
        <f t="shared" si="2"/>
        <v/>
      </c>
      <c r="AF24" s="15" t="str">
        <f t="shared" si="2"/>
        <v/>
      </c>
      <c r="AG24" s="15" t="str">
        <f t="shared" si="2"/>
        <v xml:space="preserve"> </v>
      </c>
      <c r="AH24" s="15" t="str">
        <f t="shared" si="2"/>
        <v/>
      </c>
      <c r="AI24" s="5" t="str">
        <f t="shared" si="2"/>
        <v/>
      </c>
    </row>
    <row r="25" spans="2:35" s="30" customFormat="1" ht="15.75" x14ac:dyDescent="0.25">
      <c r="B25" s="36">
        <v>16</v>
      </c>
      <c r="C25" s="36">
        <v>18</v>
      </c>
      <c r="D25" s="36">
        <v>21</v>
      </c>
      <c r="E25" s="36"/>
      <c r="F25" s="12">
        <v>16</v>
      </c>
      <c r="G25" s="4">
        <f t="shared" ca="1" si="3"/>
        <v>99</v>
      </c>
      <c r="H25" s="19">
        <f t="shared" ca="1" si="0"/>
        <v>0</v>
      </c>
      <c r="I25" s="69">
        <f t="shared" ca="1" si="0"/>
        <v>0</v>
      </c>
      <c r="J25" s="92"/>
      <c r="K25" s="97"/>
      <c r="L25" s="76"/>
      <c r="M25" s="98"/>
      <c r="N25" s="32" t="str">
        <f t="shared" si="4"/>
        <v/>
      </c>
      <c r="O25" s="15" t="str">
        <f t="shared" si="1"/>
        <v/>
      </c>
      <c r="P25" s="15" t="str">
        <f t="shared" si="1"/>
        <v/>
      </c>
      <c r="Q25" s="15" t="str">
        <f t="shared" si="1"/>
        <v/>
      </c>
      <c r="R25" s="15" t="str">
        <f t="shared" si="1"/>
        <v/>
      </c>
      <c r="S25" s="15" t="str">
        <f t="shared" si="1"/>
        <v/>
      </c>
      <c r="T25" s="15" t="str">
        <f t="shared" si="1"/>
        <v/>
      </c>
      <c r="U25" s="15" t="str">
        <f t="shared" si="1"/>
        <v/>
      </c>
      <c r="V25" s="15" t="str">
        <f t="shared" si="1"/>
        <v/>
      </c>
      <c r="W25" s="15" t="str">
        <f t="shared" si="1"/>
        <v/>
      </c>
      <c r="X25" s="15" t="str">
        <f t="shared" si="1"/>
        <v/>
      </c>
      <c r="Y25" s="15" t="str">
        <f t="shared" si="1"/>
        <v/>
      </c>
      <c r="Z25" s="15" t="str">
        <f t="shared" si="1"/>
        <v/>
      </c>
      <c r="AA25" s="15" t="str">
        <f t="shared" si="1"/>
        <v/>
      </c>
      <c r="AB25" s="15" t="str">
        <f t="shared" si="2"/>
        <v/>
      </c>
      <c r="AC25" s="15" t="str">
        <f t="shared" si="2"/>
        <v xml:space="preserve"> </v>
      </c>
      <c r="AD25" s="15" t="str">
        <f t="shared" si="2"/>
        <v/>
      </c>
      <c r="AE25" s="15" t="str">
        <f t="shared" si="2"/>
        <v xml:space="preserve"> </v>
      </c>
      <c r="AF25" s="15" t="str">
        <f t="shared" si="2"/>
        <v/>
      </c>
      <c r="AG25" s="15" t="str">
        <f t="shared" si="2"/>
        <v/>
      </c>
      <c r="AH25" s="15" t="str">
        <f t="shared" si="2"/>
        <v xml:space="preserve"> </v>
      </c>
      <c r="AI25" s="5" t="str">
        <f t="shared" si="2"/>
        <v/>
      </c>
    </row>
    <row r="26" spans="2:35" s="30" customFormat="1" ht="15.75" x14ac:dyDescent="0.25">
      <c r="B26" s="36">
        <v>17</v>
      </c>
      <c r="C26" s="36">
        <v>19</v>
      </c>
      <c r="D26" s="36">
        <v>22</v>
      </c>
      <c r="E26" s="36"/>
      <c r="F26" s="12">
        <v>17</v>
      </c>
      <c r="G26" s="4">
        <f t="shared" ca="1" si="3"/>
        <v>0</v>
      </c>
      <c r="H26" s="19">
        <f t="shared" ca="1" si="3"/>
        <v>0</v>
      </c>
      <c r="I26" s="69">
        <f t="shared" ca="1" si="3"/>
        <v>0</v>
      </c>
      <c r="J26" s="92"/>
      <c r="K26" s="97"/>
      <c r="L26" s="76"/>
      <c r="M26" s="98"/>
      <c r="N26" s="32" t="str">
        <f t="shared" si="4"/>
        <v/>
      </c>
      <c r="O26" s="15" t="str">
        <f t="shared" si="1"/>
        <v/>
      </c>
      <c r="P26" s="15" t="str">
        <f t="shared" si="1"/>
        <v/>
      </c>
      <c r="Q26" s="15" t="str">
        <f t="shared" si="1"/>
        <v/>
      </c>
      <c r="R26" s="15" t="str">
        <f t="shared" si="1"/>
        <v/>
      </c>
      <c r="S26" s="15" t="str">
        <f t="shared" si="1"/>
        <v/>
      </c>
      <c r="T26" s="15" t="str">
        <f t="shared" si="1"/>
        <v/>
      </c>
      <c r="U26" s="15" t="str">
        <f t="shared" si="1"/>
        <v/>
      </c>
      <c r="V26" s="15" t="str">
        <f t="shared" si="1"/>
        <v/>
      </c>
      <c r="W26" s="15" t="str">
        <f t="shared" si="1"/>
        <v/>
      </c>
      <c r="X26" s="15" t="str">
        <f t="shared" si="1"/>
        <v/>
      </c>
      <c r="Y26" s="15" t="str">
        <f t="shared" si="1"/>
        <v/>
      </c>
      <c r="Z26" s="15" t="str">
        <f t="shared" si="1"/>
        <v/>
      </c>
      <c r="AA26" s="15" t="str">
        <f t="shared" si="1"/>
        <v/>
      </c>
      <c r="AB26" s="15" t="str">
        <f t="shared" si="1"/>
        <v/>
      </c>
      <c r="AC26" s="15" t="str">
        <f t="shared" si="1"/>
        <v/>
      </c>
      <c r="AD26" s="15" t="str">
        <f t="shared" si="1"/>
        <v xml:space="preserve"> </v>
      </c>
      <c r="AE26" s="15" t="str">
        <f t="shared" ref="AB26:AI31" si="5">IF(ISNA(MATCH(COLUMN()-13,$B26:$E26,0)),"",IF($K26=MATCH(COLUMN()-13,$B26:$E26,0),3,IF($L26=MATCH(COLUMN()-13,$B26:$E26,0),2,IF($M26=MATCH(COLUMN()-13,$B26:$E26,0),1," "))))</f>
        <v/>
      </c>
      <c r="AF26" s="15" t="str">
        <f t="shared" si="5"/>
        <v xml:space="preserve"> </v>
      </c>
      <c r="AG26" s="15" t="str">
        <f t="shared" si="5"/>
        <v/>
      </c>
      <c r="AH26" s="15" t="str">
        <f t="shared" si="5"/>
        <v/>
      </c>
      <c r="AI26" s="5" t="str">
        <f t="shared" si="5"/>
        <v xml:space="preserve"> </v>
      </c>
    </row>
    <row r="27" spans="2:35" s="30" customFormat="1" ht="15.75" x14ac:dyDescent="0.25">
      <c r="B27" s="36">
        <v>18</v>
      </c>
      <c r="C27" s="36">
        <v>20</v>
      </c>
      <c r="D27" s="36">
        <v>1</v>
      </c>
      <c r="E27" s="36"/>
      <c r="F27" s="12">
        <v>18</v>
      </c>
      <c r="G27" s="4">
        <f t="shared" ref="G27:I29" ca="1" si="6">INDIRECT(ADDRESS(B27+1,1,,,"Names"))</f>
        <v>0</v>
      </c>
      <c r="H27" s="19">
        <f t="shared" ca="1" si="6"/>
        <v>0</v>
      </c>
      <c r="I27" s="69">
        <f t="shared" ca="1" si="6"/>
        <v>1</v>
      </c>
      <c r="J27" s="92"/>
      <c r="K27" s="97"/>
      <c r="L27" s="76"/>
      <c r="M27" s="98"/>
      <c r="N27" s="32" t="str">
        <f t="shared" si="4"/>
        <v xml:space="preserve"> </v>
      </c>
      <c r="O27" s="15" t="str">
        <f t="shared" si="1"/>
        <v/>
      </c>
      <c r="P27" s="15" t="str">
        <f t="shared" si="1"/>
        <v/>
      </c>
      <c r="Q27" s="15" t="str">
        <f t="shared" si="1"/>
        <v/>
      </c>
      <c r="R27" s="15" t="str">
        <f t="shared" si="1"/>
        <v/>
      </c>
      <c r="S27" s="15" t="str">
        <f t="shared" si="1"/>
        <v/>
      </c>
      <c r="T27" s="15" t="str">
        <f t="shared" si="1"/>
        <v/>
      </c>
      <c r="U27" s="15" t="str">
        <f t="shared" si="1"/>
        <v/>
      </c>
      <c r="V27" s="15" t="str">
        <f t="shared" si="1"/>
        <v/>
      </c>
      <c r="W27" s="15" t="str">
        <f t="shared" si="1"/>
        <v/>
      </c>
      <c r="X27" s="15" t="str">
        <f t="shared" si="1"/>
        <v/>
      </c>
      <c r="Y27" s="15" t="str">
        <f t="shared" si="1"/>
        <v/>
      </c>
      <c r="Z27" s="15" t="str">
        <f t="shared" si="1"/>
        <v/>
      </c>
      <c r="AA27" s="15" t="str">
        <f t="shared" si="1"/>
        <v/>
      </c>
      <c r="AB27" s="15" t="str">
        <f t="shared" si="5"/>
        <v/>
      </c>
      <c r="AC27" s="15" t="str">
        <f t="shared" si="5"/>
        <v/>
      </c>
      <c r="AD27" s="15" t="str">
        <f t="shared" si="5"/>
        <v/>
      </c>
      <c r="AE27" s="15" t="str">
        <f t="shared" si="5"/>
        <v xml:space="preserve"> </v>
      </c>
      <c r="AF27" s="15" t="str">
        <f t="shared" si="5"/>
        <v/>
      </c>
      <c r="AG27" s="15" t="str">
        <f t="shared" si="5"/>
        <v xml:space="preserve"> </v>
      </c>
      <c r="AH27" s="15" t="str">
        <f t="shared" si="5"/>
        <v/>
      </c>
      <c r="AI27" s="5" t="str">
        <f t="shared" si="5"/>
        <v/>
      </c>
    </row>
    <row r="28" spans="2:35" s="30" customFormat="1" ht="15.75" x14ac:dyDescent="0.25">
      <c r="B28" s="36">
        <v>19</v>
      </c>
      <c r="C28" s="36">
        <v>21</v>
      </c>
      <c r="D28" s="36">
        <v>2</v>
      </c>
      <c r="E28" s="36"/>
      <c r="F28" s="12">
        <v>19</v>
      </c>
      <c r="G28" s="4">
        <f t="shared" ca="1" si="6"/>
        <v>0</v>
      </c>
      <c r="H28" s="19">
        <f t="shared" ca="1" si="6"/>
        <v>0</v>
      </c>
      <c r="I28" s="69">
        <f t="shared" ca="1" si="6"/>
        <v>2</v>
      </c>
      <c r="J28" s="92"/>
      <c r="K28" s="97"/>
      <c r="L28" s="76"/>
      <c r="M28" s="98"/>
      <c r="N28" s="32" t="str">
        <f t="shared" si="4"/>
        <v/>
      </c>
      <c r="O28" s="15" t="str">
        <f t="shared" si="1"/>
        <v xml:space="preserve"> </v>
      </c>
      <c r="P28" s="15" t="str">
        <f t="shared" si="1"/>
        <v/>
      </c>
      <c r="Q28" s="15" t="str">
        <f t="shared" si="1"/>
        <v/>
      </c>
      <c r="R28" s="15" t="str">
        <f t="shared" si="1"/>
        <v/>
      </c>
      <c r="S28" s="15" t="str">
        <f t="shared" si="1"/>
        <v/>
      </c>
      <c r="T28" s="15" t="str">
        <f t="shared" si="1"/>
        <v/>
      </c>
      <c r="U28" s="15" t="str">
        <f t="shared" ref="U28:AA28" si="7">IF(ISNA(MATCH(COLUMN()-13,$B28:$E28,0)),"",IF($K28=MATCH(COLUMN()-13,$B28:$E28,0),3,IF($L28=MATCH(COLUMN()-13,$B28:$E28,0),2,IF($M28=MATCH(COLUMN()-13,$B28:$E28,0),1," "))))</f>
        <v/>
      </c>
      <c r="V28" s="15" t="str">
        <f t="shared" si="7"/>
        <v/>
      </c>
      <c r="W28" s="15" t="str">
        <f t="shared" si="7"/>
        <v/>
      </c>
      <c r="X28" s="15" t="str">
        <f t="shared" si="7"/>
        <v/>
      </c>
      <c r="Y28" s="15" t="str">
        <f t="shared" si="7"/>
        <v/>
      </c>
      <c r="Z28" s="15" t="str">
        <f t="shared" si="7"/>
        <v/>
      </c>
      <c r="AA28" s="15" t="str">
        <f t="shared" si="7"/>
        <v/>
      </c>
      <c r="AB28" s="15" t="str">
        <f t="shared" si="5"/>
        <v/>
      </c>
      <c r="AC28" s="15" t="str">
        <f t="shared" si="5"/>
        <v/>
      </c>
      <c r="AD28" s="15" t="str">
        <f t="shared" si="5"/>
        <v/>
      </c>
      <c r="AE28" s="15" t="str">
        <f t="shared" si="5"/>
        <v/>
      </c>
      <c r="AF28" s="15" t="str">
        <f t="shared" si="5"/>
        <v xml:space="preserve"> </v>
      </c>
      <c r="AG28" s="15" t="str">
        <f t="shared" si="5"/>
        <v/>
      </c>
      <c r="AH28" s="15" t="str">
        <f t="shared" si="5"/>
        <v xml:space="preserve"> </v>
      </c>
      <c r="AI28" s="5" t="str">
        <f t="shared" si="5"/>
        <v/>
      </c>
    </row>
    <row r="29" spans="2:35" s="30" customFormat="1" ht="15.75" x14ac:dyDescent="0.25">
      <c r="B29" s="36">
        <v>20</v>
      </c>
      <c r="C29" s="36">
        <v>22</v>
      </c>
      <c r="D29" s="36">
        <v>3</v>
      </c>
      <c r="E29" s="36"/>
      <c r="F29" s="12">
        <v>20</v>
      </c>
      <c r="G29" s="4">
        <f t="shared" ca="1" si="6"/>
        <v>0</v>
      </c>
      <c r="H29" s="19">
        <f t="shared" ca="1" si="6"/>
        <v>0</v>
      </c>
      <c r="I29" s="69">
        <f t="shared" ca="1" si="6"/>
        <v>3</v>
      </c>
      <c r="J29" s="92"/>
      <c r="K29" s="97"/>
      <c r="L29" s="76"/>
      <c r="M29" s="98"/>
      <c r="N29" s="32" t="str">
        <f t="shared" si="4"/>
        <v/>
      </c>
      <c r="O29" s="15" t="str">
        <f t="shared" si="4"/>
        <v/>
      </c>
      <c r="P29" s="15" t="str">
        <f t="shared" si="4"/>
        <v xml:space="preserve"> </v>
      </c>
      <c r="Q29" s="15" t="str">
        <f t="shared" si="4"/>
        <v/>
      </c>
      <c r="R29" s="15" t="str">
        <f t="shared" si="4"/>
        <v/>
      </c>
      <c r="S29" s="15" t="str">
        <f t="shared" si="4"/>
        <v/>
      </c>
      <c r="T29" s="15" t="str">
        <f t="shared" si="4"/>
        <v/>
      </c>
      <c r="U29" s="15" t="str">
        <f t="shared" si="4"/>
        <v/>
      </c>
      <c r="V29" s="15" t="str">
        <f t="shared" si="4"/>
        <v/>
      </c>
      <c r="W29" s="15" t="str">
        <f t="shared" si="4"/>
        <v/>
      </c>
      <c r="X29" s="15" t="str">
        <f t="shared" si="4"/>
        <v/>
      </c>
      <c r="Y29" s="15" t="str">
        <f t="shared" si="4"/>
        <v/>
      </c>
      <c r="Z29" s="15" t="str">
        <f t="shared" si="4"/>
        <v/>
      </c>
      <c r="AA29" s="15" t="str">
        <f t="shared" si="4"/>
        <v/>
      </c>
      <c r="AB29" s="15" t="str">
        <f t="shared" si="5"/>
        <v/>
      </c>
      <c r="AC29" s="15" t="str">
        <f t="shared" si="5"/>
        <v/>
      </c>
      <c r="AD29" s="15" t="str">
        <f t="shared" si="5"/>
        <v/>
      </c>
      <c r="AE29" s="15" t="str">
        <f t="shared" si="5"/>
        <v/>
      </c>
      <c r="AF29" s="15" t="str">
        <f t="shared" si="5"/>
        <v/>
      </c>
      <c r="AG29" s="15" t="str">
        <f t="shared" si="5"/>
        <v xml:space="preserve"> </v>
      </c>
      <c r="AH29" s="15" t="str">
        <f t="shared" si="5"/>
        <v/>
      </c>
      <c r="AI29" s="5" t="str">
        <f t="shared" si="5"/>
        <v xml:space="preserve"> </v>
      </c>
    </row>
    <row r="30" spans="2:35" s="30" customFormat="1" ht="15.75" x14ac:dyDescent="0.25">
      <c r="B30" s="36">
        <v>21</v>
      </c>
      <c r="C30" s="36">
        <v>1</v>
      </c>
      <c r="D30" s="36">
        <v>4</v>
      </c>
      <c r="E30" s="36"/>
      <c r="F30" s="12">
        <v>20</v>
      </c>
      <c r="G30" s="4">
        <f t="shared" ref="G30:G31" ca="1" si="8">INDIRECT(ADDRESS(B30+1,1,,,"Names"))</f>
        <v>0</v>
      </c>
      <c r="H30" s="19">
        <f t="shared" ref="H30:H31" ca="1" si="9">INDIRECT(ADDRESS(C30+1,1,,,"Names"))</f>
        <v>1</v>
      </c>
      <c r="I30" s="69">
        <f t="shared" ref="I30:I31" ca="1" si="10">INDIRECT(ADDRESS(D30+1,1,,,"Names"))</f>
        <v>4</v>
      </c>
      <c r="J30" s="92"/>
      <c r="K30" s="97"/>
      <c r="L30" s="76"/>
      <c r="M30" s="98"/>
      <c r="N30" s="32" t="str">
        <f t="shared" si="4"/>
        <v xml:space="preserve"> </v>
      </c>
      <c r="O30" s="15" t="str">
        <f t="shared" si="4"/>
        <v/>
      </c>
      <c r="P30" s="15" t="str">
        <f t="shared" si="4"/>
        <v/>
      </c>
      <c r="Q30" s="15" t="str">
        <f t="shared" si="4"/>
        <v xml:space="preserve"> </v>
      </c>
      <c r="R30" s="15" t="str">
        <f t="shared" si="4"/>
        <v/>
      </c>
      <c r="S30" s="15" t="str">
        <f t="shared" si="4"/>
        <v/>
      </c>
      <c r="T30" s="15" t="str">
        <f t="shared" si="4"/>
        <v/>
      </c>
      <c r="U30" s="15" t="str">
        <f t="shared" si="4"/>
        <v/>
      </c>
      <c r="V30" s="15" t="str">
        <f t="shared" si="4"/>
        <v/>
      </c>
      <c r="W30" s="15" t="str">
        <f t="shared" si="4"/>
        <v/>
      </c>
      <c r="X30" s="15" t="str">
        <f t="shared" si="4"/>
        <v/>
      </c>
      <c r="Y30" s="15" t="str">
        <f t="shared" si="4"/>
        <v/>
      </c>
      <c r="Z30" s="15" t="str">
        <f t="shared" si="4"/>
        <v/>
      </c>
      <c r="AA30" s="15" t="str">
        <f t="shared" si="4"/>
        <v/>
      </c>
      <c r="AB30" s="15" t="str">
        <f t="shared" si="5"/>
        <v/>
      </c>
      <c r="AC30" s="15" t="str">
        <f t="shared" si="5"/>
        <v/>
      </c>
      <c r="AD30" s="15" t="str">
        <f t="shared" si="5"/>
        <v/>
      </c>
      <c r="AE30" s="15" t="str">
        <f t="shared" si="5"/>
        <v/>
      </c>
      <c r="AF30" s="15" t="str">
        <f t="shared" si="5"/>
        <v/>
      </c>
      <c r="AG30" s="15" t="str">
        <f t="shared" si="5"/>
        <v/>
      </c>
      <c r="AH30" s="15" t="str">
        <f t="shared" si="5"/>
        <v xml:space="preserve"> </v>
      </c>
      <c r="AI30" s="5" t="str">
        <f t="shared" si="5"/>
        <v/>
      </c>
    </row>
    <row r="31" spans="2:35" s="30" customFormat="1" ht="16.5" thickBot="1" x14ac:dyDescent="0.3">
      <c r="B31" s="36">
        <v>22</v>
      </c>
      <c r="C31" s="36">
        <v>2</v>
      </c>
      <c r="D31" s="36">
        <v>5</v>
      </c>
      <c r="E31" s="36"/>
      <c r="F31" s="13">
        <v>20</v>
      </c>
      <c r="G31" s="6">
        <f t="shared" ca="1" si="8"/>
        <v>0</v>
      </c>
      <c r="H31" s="39">
        <f t="shared" ca="1" si="9"/>
        <v>2</v>
      </c>
      <c r="I31" s="40">
        <f t="shared" ca="1" si="10"/>
        <v>5</v>
      </c>
      <c r="J31" s="93"/>
      <c r="K31" s="99"/>
      <c r="L31" s="100"/>
      <c r="M31" s="101"/>
      <c r="N31" s="20" t="str">
        <f t="shared" ref="N31:AA31" si="11">IF(ISNA(MATCH(COLUMN()-13,$B31:$E31,0)),"",IF($K31=MATCH(COLUMN()-13,$B31:$E31,0),3,IF($L31=MATCH(COLUMN()-13,$B31:$E31,0),2,IF($M31=MATCH(COLUMN()-13,$B31:$E31,0),1," "))))</f>
        <v/>
      </c>
      <c r="O31" s="16" t="str">
        <f t="shared" si="11"/>
        <v xml:space="preserve"> </v>
      </c>
      <c r="P31" s="16" t="str">
        <f t="shared" si="11"/>
        <v/>
      </c>
      <c r="Q31" s="16" t="str">
        <f t="shared" si="11"/>
        <v/>
      </c>
      <c r="R31" s="16" t="str">
        <f t="shared" si="11"/>
        <v xml:space="preserve"> </v>
      </c>
      <c r="S31" s="16" t="str">
        <f t="shared" si="11"/>
        <v/>
      </c>
      <c r="T31" s="16" t="str">
        <f t="shared" si="11"/>
        <v/>
      </c>
      <c r="U31" s="16" t="str">
        <f t="shared" si="11"/>
        <v/>
      </c>
      <c r="V31" s="16" t="str">
        <f t="shared" si="11"/>
        <v/>
      </c>
      <c r="W31" s="16" t="str">
        <f t="shared" si="11"/>
        <v/>
      </c>
      <c r="X31" s="16" t="str">
        <f t="shared" si="11"/>
        <v/>
      </c>
      <c r="Y31" s="16" t="str">
        <f t="shared" si="11"/>
        <v/>
      </c>
      <c r="Z31" s="16" t="str">
        <f t="shared" si="11"/>
        <v/>
      </c>
      <c r="AA31" s="16" t="str">
        <f t="shared" si="11"/>
        <v/>
      </c>
      <c r="AB31" s="16" t="str">
        <f t="shared" si="5"/>
        <v/>
      </c>
      <c r="AC31" s="16" t="str">
        <f t="shared" si="5"/>
        <v/>
      </c>
      <c r="AD31" s="16" t="str">
        <f t="shared" si="5"/>
        <v/>
      </c>
      <c r="AE31" s="16" t="str">
        <f t="shared" si="5"/>
        <v/>
      </c>
      <c r="AF31" s="16" t="str">
        <f t="shared" si="5"/>
        <v/>
      </c>
      <c r="AG31" s="16" t="str">
        <f t="shared" si="5"/>
        <v/>
      </c>
      <c r="AH31" s="16" t="str">
        <f t="shared" si="5"/>
        <v/>
      </c>
      <c r="AI31" s="43" t="str">
        <f t="shared" si="5"/>
        <v xml:space="preserve"> </v>
      </c>
    </row>
    <row r="32" spans="2:35" ht="15.75" x14ac:dyDescent="0.25">
      <c r="K32" s="151" t="s">
        <v>4</v>
      </c>
      <c r="L32" s="152"/>
      <c r="M32" s="153"/>
      <c r="N32" s="112" t="str">
        <f t="shared" ref="N32:AG32" si="12">IF(SUM(N10:N29)&lt;1," ",SUM(N10:N29))</f>
        <v xml:space="preserve"> </v>
      </c>
      <c r="O32" s="45" t="str">
        <f t="shared" si="12"/>
        <v xml:space="preserve"> </v>
      </c>
      <c r="P32" s="45" t="str">
        <f t="shared" si="12"/>
        <v xml:space="preserve"> </v>
      </c>
      <c r="Q32" s="45" t="str">
        <f t="shared" si="12"/>
        <v xml:space="preserve"> </v>
      </c>
      <c r="R32" s="45" t="str">
        <f t="shared" si="12"/>
        <v xml:space="preserve"> </v>
      </c>
      <c r="S32" s="45" t="str">
        <f t="shared" si="12"/>
        <v xml:space="preserve"> </v>
      </c>
      <c r="T32" s="45" t="str">
        <f t="shared" si="12"/>
        <v xml:space="preserve"> </v>
      </c>
      <c r="U32" s="45" t="str">
        <f t="shared" si="12"/>
        <v xml:space="preserve"> </v>
      </c>
      <c r="V32" s="45" t="str">
        <f t="shared" si="12"/>
        <v xml:space="preserve"> </v>
      </c>
      <c r="W32" s="45" t="str">
        <f t="shared" si="12"/>
        <v xml:space="preserve"> </v>
      </c>
      <c r="X32" s="45" t="str">
        <f t="shared" si="12"/>
        <v xml:space="preserve"> </v>
      </c>
      <c r="Y32" s="45" t="str">
        <f t="shared" si="12"/>
        <v xml:space="preserve"> </v>
      </c>
      <c r="Z32" s="45" t="str">
        <f t="shared" si="12"/>
        <v xml:space="preserve"> </v>
      </c>
      <c r="AA32" s="45" t="str">
        <f t="shared" si="12"/>
        <v xml:space="preserve"> </v>
      </c>
      <c r="AB32" s="45" t="str">
        <f t="shared" si="12"/>
        <v xml:space="preserve"> </v>
      </c>
      <c r="AC32" s="45" t="str">
        <f t="shared" si="12"/>
        <v xml:space="preserve"> </v>
      </c>
      <c r="AD32" s="45" t="str">
        <f t="shared" si="12"/>
        <v xml:space="preserve"> </v>
      </c>
      <c r="AE32" s="45" t="str">
        <f t="shared" si="12"/>
        <v xml:space="preserve"> </v>
      </c>
      <c r="AF32" s="45" t="str">
        <f t="shared" si="12"/>
        <v xml:space="preserve"> </v>
      </c>
      <c r="AG32" s="45" t="str">
        <f t="shared" si="12"/>
        <v xml:space="preserve"> </v>
      </c>
      <c r="AH32" s="45" t="str">
        <f t="shared" ref="AH32:AI32" si="13">IF(SUM(AH10:AH29)&lt;1," ",SUM(AH10:AH29))</f>
        <v xml:space="preserve"> </v>
      </c>
      <c r="AI32" s="46" t="str">
        <f t="shared" si="13"/>
        <v xml:space="preserve"> </v>
      </c>
    </row>
    <row r="33" spans="11:35" ht="16.5" thickBot="1" x14ac:dyDescent="0.3">
      <c r="K33" s="141" t="s">
        <v>5</v>
      </c>
      <c r="L33" s="142"/>
      <c r="M33" s="143"/>
      <c r="N33" s="120" t="e">
        <f>RANK(N32,$N32:$AL32,0)</f>
        <v>#VALUE!</v>
      </c>
      <c r="O33" s="121" t="e">
        <f t="shared" ref="O33:AI33" si="14">RANK(O32,$N32:$AL32,0)</f>
        <v>#VALUE!</v>
      </c>
      <c r="P33" s="121" t="e">
        <f t="shared" si="14"/>
        <v>#VALUE!</v>
      </c>
      <c r="Q33" s="121" t="e">
        <f t="shared" si="14"/>
        <v>#VALUE!</v>
      </c>
      <c r="R33" s="121" t="e">
        <f t="shared" si="14"/>
        <v>#VALUE!</v>
      </c>
      <c r="S33" s="121" t="e">
        <f t="shared" si="14"/>
        <v>#VALUE!</v>
      </c>
      <c r="T33" s="121" t="e">
        <f t="shared" si="14"/>
        <v>#VALUE!</v>
      </c>
      <c r="U33" s="121" t="e">
        <f t="shared" si="14"/>
        <v>#VALUE!</v>
      </c>
      <c r="V33" s="121" t="e">
        <f t="shared" si="14"/>
        <v>#VALUE!</v>
      </c>
      <c r="W33" s="121" t="e">
        <f t="shared" si="14"/>
        <v>#VALUE!</v>
      </c>
      <c r="X33" s="121" t="e">
        <f t="shared" si="14"/>
        <v>#VALUE!</v>
      </c>
      <c r="Y33" s="121" t="e">
        <f t="shared" si="14"/>
        <v>#VALUE!</v>
      </c>
      <c r="Z33" s="121" t="e">
        <f t="shared" si="14"/>
        <v>#VALUE!</v>
      </c>
      <c r="AA33" s="121" t="e">
        <f t="shared" si="14"/>
        <v>#VALUE!</v>
      </c>
      <c r="AB33" s="121" t="e">
        <f t="shared" si="14"/>
        <v>#VALUE!</v>
      </c>
      <c r="AC33" s="121" t="e">
        <f t="shared" si="14"/>
        <v>#VALUE!</v>
      </c>
      <c r="AD33" s="121" t="e">
        <f t="shared" si="14"/>
        <v>#VALUE!</v>
      </c>
      <c r="AE33" s="121" t="e">
        <f t="shared" si="14"/>
        <v>#VALUE!</v>
      </c>
      <c r="AF33" s="121" t="e">
        <f t="shared" si="14"/>
        <v>#VALUE!</v>
      </c>
      <c r="AG33" s="121" t="e">
        <f t="shared" si="14"/>
        <v>#VALUE!</v>
      </c>
      <c r="AH33" s="121" t="e">
        <f t="shared" si="14"/>
        <v>#VALUE!</v>
      </c>
      <c r="AI33" s="122" t="e">
        <f t="shared" si="14"/>
        <v>#VALUE!</v>
      </c>
    </row>
    <row r="34" spans="11:35" x14ac:dyDescent="0.2">
      <c r="N34" s="7"/>
      <c r="O34" s="7"/>
      <c r="P34" s="7"/>
      <c r="Q34" s="7"/>
    </row>
    <row r="35" spans="11:35" s="31" customFormat="1" ht="135.75" customHeight="1" x14ac:dyDescent="0.2">
      <c r="N35" s="8" t="str">
        <f>+Names!$B$2</f>
        <v>Luke</v>
      </c>
      <c r="O35" s="8" t="str">
        <f>+Names!$B$3</f>
        <v>Ro</v>
      </c>
      <c r="P35" s="8" t="str">
        <f>+Names!$B$4</f>
        <v>Caleb</v>
      </c>
      <c r="Q35" s="8" t="str">
        <f>+Names!$B$5</f>
        <v>Zau</v>
      </c>
      <c r="R35" s="8" t="str">
        <f>+Names!$B$6</f>
        <v>Brady</v>
      </c>
      <c r="S35" s="8" t="str">
        <f>+Names!$B$7</f>
        <v>Theo</v>
      </c>
      <c r="T35" s="8" t="str">
        <f>+Names!$B$8</f>
        <v>Jonathan</v>
      </c>
      <c r="U35" s="8" t="str">
        <f>+Names!$B$9</f>
        <v>Brenton</v>
      </c>
      <c r="V35" s="8" t="str">
        <f>+Names!$B$10</f>
        <v>Jospe</v>
      </c>
      <c r="W35" s="8" t="str">
        <f>+Names!$B$11</f>
        <v>Emery</v>
      </c>
      <c r="X35" s="8" t="str">
        <f>+Names!$B$12</f>
        <v>Isaac</v>
      </c>
      <c r="Y35" s="8" t="str">
        <f>+Names!$B$13</f>
        <v>Alain</v>
      </c>
      <c r="Z35" s="8" t="str">
        <f>+Names!$B$14</f>
        <v>Silas</v>
      </c>
      <c r="AA35" s="8" t="str">
        <f>+Names!$B$15</f>
        <v>De</v>
      </c>
      <c r="AB35" s="8">
        <f>+Names!$B$19</f>
        <v>0</v>
      </c>
      <c r="AC35" s="8">
        <f>+Names!$B$20</f>
        <v>0</v>
      </c>
      <c r="AD35" s="8">
        <f>+Names!$B$18</f>
        <v>0</v>
      </c>
      <c r="AE35" s="8" t="e">
        <f>+Names!#REF!</f>
        <v>#REF!</v>
      </c>
      <c r="AF35" s="8" t="e">
        <f>+Names!#REF!</f>
        <v>#REF!</v>
      </c>
      <c r="AG35" s="8">
        <f>+Names!$B$21</f>
        <v>0</v>
      </c>
      <c r="AH35" s="8">
        <f>+Names!$B$22</f>
        <v>0</v>
      </c>
      <c r="AI35" s="8">
        <f>+Names!$B$23</f>
        <v>0</v>
      </c>
    </row>
  </sheetData>
  <sheetProtection sheet="1" objects="1" scenarios="1" selectLockedCells="1"/>
  <mergeCells count="20">
    <mergeCell ref="K33:M33"/>
    <mergeCell ref="F4:G4"/>
    <mergeCell ref="M4:N4"/>
    <mergeCell ref="S4:U4"/>
    <mergeCell ref="F5:G5"/>
    <mergeCell ref="M5:N5"/>
    <mergeCell ref="S5:U5"/>
    <mergeCell ref="M6:N6"/>
    <mergeCell ref="G8:I8"/>
    <mergeCell ref="K8:M8"/>
    <mergeCell ref="N8:AG8"/>
    <mergeCell ref="K32:M32"/>
    <mergeCell ref="F3:G3"/>
    <mergeCell ref="M3:N3"/>
    <mergeCell ref="S3:U3"/>
    <mergeCell ref="F1:AB1"/>
    <mergeCell ref="F2:G2"/>
    <mergeCell ref="I2:L2"/>
    <mergeCell ref="M2:N2"/>
    <mergeCell ref="R2:U2"/>
  </mergeCells>
  <conditionalFormatting sqref="F10:F31">
    <cfRule type="expression" dxfId="474" priority="28" stopIfTrue="1">
      <formula>$H$2=F10</formula>
    </cfRule>
  </conditionalFormatting>
  <conditionalFormatting sqref="G10">
    <cfRule type="expression" dxfId="473" priority="10" stopIfTrue="1">
      <formula>$K$10=1</formula>
    </cfRule>
    <cfRule type="expression" dxfId="472" priority="11" stopIfTrue="1">
      <formula>$L$10=1</formula>
    </cfRule>
    <cfRule type="expression" dxfId="471" priority="12" stopIfTrue="1">
      <formula>$M$10=1</formula>
    </cfRule>
  </conditionalFormatting>
  <conditionalFormatting sqref="G11:G31">
    <cfRule type="expression" dxfId="470" priority="13" stopIfTrue="1">
      <formula>K11=1</formula>
    </cfRule>
    <cfRule type="expression" dxfId="469" priority="14" stopIfTrue="1">
      <formula>L11=1</formula>
    </cfRule>
    <cfRule type="expression" dxfId="468" priority="15" stopIfTrue="1">
      <formula>M11=1</formula>
    </cfRule>
  </conditionalFormatting>
  <conditionalFormatting sqref="H10:H31">
    <cfRule type="expression" dxfId="467" priority="16" stopIfTrue="1">
      <formula>K10=2</formula>
    </cfRule>
    <cfRule type="expression" dxfId="466" priority="17" stopIfTrue="1">
      <formula>L10=2</formula>
    </cfRule>
    <cfRule type="expression" dxfId="465" priority="18" stopIfTrue="1">
      <formula>M10=2</formula>
    </cfRule>
  </conditionalFormatting>
  <conditionalFormatting sqref="I10:I31">
    <cfRule type="expression" dxfId="464" priority="19" stopIfTrue="1">
      <formula>K10=3</formula>
    </cfRule>
    <cfRule type="expression" dxfId="463" priority="20" stopIfTrue="1">
      <formula>L10=3</formula>
    </cfRule>
    <cfRule type="expression" dxfId="462" priority="21" stopIfTrue="1">
      <formula>M10=3</formula>
    </cfRule>
  </conditionalFormatting>
  <conditionalFormatting sqref="I3:N6">
    <cfRule type="expression" dxfId="461" priority="25" stopIfTrue="1">
      <formula>$M3="1st"</formula>
    </cfRule>
    <cfRule type="expression" dxfId="460" priority="26" stopIfTrue="1">
      <formula>$M3="2nd"</formula>
    </cfRule>
    <cfRule type="expression" dxfId="459" priority="27" stopIfTrue="1">
      <formula>$M3="3rd"</formula>
    </cfRule>
  </conditionalFormatting>
  <conditionalFormatting sqref="J10:J31">
    <cfRule type="expression" dxfId="458" priority="22" stopIfTrue="1">
      <formula>K10=4</formula>
    </cfRule>
    <cfRule type="expression" dxfId="457" priority="23" stopIfTrue="1">
      <formula>L10=4</formula>
    </cfRule>
    <cfRule type="expression" dxfId="456" priority="24" stopIfTrue="1">
      <formula>M10=4</formula>
    </cfRule>
  </conditionalFormatting>
  <conditionalFormatting sqref="N10:AI31">
    <cfRule type="cellIs" dxfId="455" priority="7" stopIfTrue="1" operator="equal">
      <formula>3</formula>
    </cfRule>
    <cfRule type="cellIs" dxfId="454" priority="8" stopIfTrue="1" operator="equal">
      <formula>2</formula>
    </cfRule>
    <cfRule type="cellIs" dxfId="453" priority="9" stopIfTrue="1" operator="equal">
      <formula>1</formula>
    </cfRule>
  </conditionalFormatting>
  <conditionalFormatting sqref="N33:AI33">
    <cfRule type="cellIs" dxfId="452" priority="1" operator="equal">
      <formula>3</formula>
    </cfRule>
    <cfRule type="cellIs" dxfId="451" priority="2" operator="equal">
      <formula>2</formula>
    </cfRule>
    <cfRule type="cellIs" dxfId="450" priority="3" operator="equal">
      <formula>1</formula>
    </cfRule>
  </conditionalFormatting>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FD54-D72D-4271-BE0C-6333F0CB99ED}">
  <dimension ref="B1:AH34"/>
  <sheetViews>
    <sheetView showGridLines="0" zoomScaleNormal="100" workbookViewId="0">
      <selection activeCell="K10" sqref="K10"/>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4" width="4.7109375" customWidth="1"/>
  </cols>
  <sheetData>
    <row r="1" spans="2:34"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4" s="29" customFormat="1" ht="22.5" x14ac:dyDescent="0.45">
      <c r="F2" s="133" t="s">
        <v>2</v>
      </c>
      <c r="G2" s="134"/>
      <c r="H2" s="47">
        <v>1</v>
      </c>
      <c r="I2" s="135" t="str">
        <f>+Names!$C$1</f>
        <v>Driver</v>
      </c>
      <c r="J2" s="136"/>
      <c r="K2" s="136"/>
      <c r="L2" s="137"/>
      <c r="M2" s="130" t="s">
        <v>8</v>
      </c>
      <c r="N2" s="130"/>
      <c r="R2" s="138" t="s">
        <v>12</v>
      </c>
      <c r="S2" s="139"/>
      <c r="T2" s="139"/>
      <c r="U2" s="140"/>
    </row>
    <row r="3" spans="2:34"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4"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4"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4" s="29" customFormat="1" ht="18.75" hidden="1" x14ac:dyDescent="0.3">
      <c r="E6" s="17"/>
      <c r="F6" s="55"/>
      <c r="G6" s="56"/>
      <c r="H6" s="3"/>
      <c r="I6" s="84"/>
      <c r="J6" s="85"/>
      <c r="K6" s="85"/>
      <c r="L6" s="86"/>
      <c r="M6" s="130"/>
      <c r="N6" s="130"/>
      <c r="R6"/>
      <c r="S6" s="26"/>
      <c r="T6" s="26"/>
      <c r="U6" s="26"/>
    </row>
    <row r="7" spans="2:34" ht="13.5" thickBot="1" x14ac:dyDescent="0.25">
      <c r="E7" s="28"/>
    </row>
    <row r="8" spans="2:34"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c r="AH8" s="113"/>
    </row>
    <row r="9" spans="2:34"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c r="AH9" s="58">
        <f>+Names!$A$22</f>
        <v>0</v>
      </c>
    </row>
    <row r="10" spans="2:34" s="30" customFormat="1" ht="15.75" x14ac:dyDescent="0.25">
      <c r="B10" s="36">
        <v>1</v>
      </c>
      <c r="C10" s="36">
        <v>3</v>
      </c>
      <c r="D10" s="36">
        <v>6</v>
      </c>
      <c r="E10" s="36"/>
      <c r="F10" s="11">
        <v>1</v>
      </c>
      <c r="G10" s="37">
        <f ca="1">INDIRECT(ADDRESS(B10+1,1,,,"Names"))</f>
        <v>1</v>
      </c>
      <c r="H10" s="18">
        <f t="shared" ref="H10:I2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8"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B10:AH25" si="2">IF(ISNA(MATCH(COLUMN()-13,$B10:$E10,0)),"",IF($K10=MATCH(COLUMN()-13,$B10:$E10,0),3,IF($L10=MATCH(COLUMN()-13,$B10:$E10,0),2,IF($M10=MATCH(COLUMN()-13,$B10:$E10,0),1," "))))</f>
        <v/>
      </c>
      <c r="AF10" s="52" t="str">
        <f t="shared" si="2"/>
        <v/>
      </c>
      <c r="AG10" s="52" t="str">
        <f t="shared" si="2"/>
        <v/>
      </c>
      <c r="AH10" s="53" t="str">
        <f t="shared" si="2"/>
        <v/>
      </c>
    </row>
    <row r="11" spans="2:34" s="30" customFormat="1" ht="15.75" x14ac:dyDescent="0.25">
      <c r="B11" s="36">
        <v>2</v>
      </c>
      <c r="C11" s="36">
        <v>4</v>
      </c>
      <c r="D11" s="36">
        <v>7</v>
      </c>
      <c r="E11" s="36"/>
      <c r="F11" s="12">
        <v>2</v>
      </c>
      <c r="G11" s="4">
        <f t="shared" ref="G11:I26" ca="1" si="3">INDIRECT(ADDRESS(B11+1,1,,,"Names"))</f>
        <v>2</v>
      </c>
      <c r="H11" s="19">
        <f t="shared" ca="1" si="0"/>
        <v>4</v>
      </c>
      <c r="I11" s="69">
        <f t="shared" ca="1" si="0"/>
        <v>7</v>
      </c>
      <c r="J11" s="92"/>
      <c r="K11" s="97"/>
      <c r="L11" s="76"/>
      <c r="M11" s="98"/>
      <c r="N11" s="32" t="str">
        <f t="shared" ref="N11:AA30"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15" t="str">
        <f t="shared" si="2"/>
        <v/>
      </c>
      <c r="AH11" s="5" t="str">
        <f t="shared" si="2"/>
        <v/>
      </c>
    </row>
    <row r="12" spans="2:34"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15" t="str">
        <f t="shared" si="2"/>
        <v/>
      </c>
      <c r="AH12" s="5" t="str">
        <f t="shared" si="2"/>
        <v/>
      </c>
    </row>
    <row r="13" spans="2:34"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15" t="str">
        <f t="shared" si="2"/>
        <v/>
      </c>
      <c r="AH13" s="5" t="str">
        <f t="shared" si="2"/>
        <v/>
      </c>
    </row>
    <row r="14" spans="2:34"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2"/>
        <v/>
      </c>
      <c r="AC14" s="15" t="str">
        <f t="shared" si="2"/>
        <v/>
      </c>
      <c r="AD14" s="15" t="str">
        <f t="shared" si="2"/>
        <v/>
      </c>
      <c r="AE14" s="15" t="str">
        <f t="shared" si="2"/>
        <v/>
      </c>
      <c r="AF14" s="15" t="str">
        <f t="shared" si="2"/>
        <v/>
      </c>
      <c r="AG14" s="15" t="str">
        <f t="shared" si="2"/>
        <v/>
      </c>
      <c r="AH14" s="5" t="str">
        <f t="shared" si="2"/>
        <v/>
      </c>
    </row>
    <row r="15" spans="2:34"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2"/>
        <v/>
      </c>
      <c r="AC15" s="15" t="str">
        <f t="shared" si="2"/>
        <v/>
      </c>
      <c r="AD15" s="15" t="str">
        <f t="shared" si="2"/>
        <v/>
      </c>
      <c r="AE15" s="15" t="str">
        <f t="shared" si="2"/>
        <v/>
      </c>
      <c r="AF15" s="15" t="str">
        <f t="shared" si="2"/>
        <v/>
      </c>
      <c r="AG15" s="15" t="str">
        <f t="shared" si="2"/>
        <v/>
      </c>
      <c r="AH15" s="5" t="str">
        <f t="shared" si="2"/>
        <v/>
      </c>
    </row>
    <row r="16" spans="2:34"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2"/>
        <v/>
      </c>
      <c r="AC16" s="15" t="str">
        <f t="shared" si="2"/>
        <v/>
      </c>
      <c r="AD16" s="15" t="str">
        <f t="shared" si="2"/>
        <v/>
      </c>
      <c r="AE16" s="15" t="str">
        <f t="shared" si="2"/>
        <v/>
      </c>
      <c r="AF16" s="15" t="str">
        <f t="shared" si="2"/>
        <v/>
      </c>
      <c r="AG16" s="15" t="str">
        <f t="shared" si="2"/>
        <v/>
      </c>
      <c r="AH16" s="5" t="str">
        <f t="shared" si="2"/>
        <v/>
      </c>
    </row>
    <row r="17" spans="2:34"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2"/>
        <v/>
      </c>
      <c r="AC17" s="15" t="str">
        <f t="shared" si="2"/>
        <v/>
      </c>
      <c r="AD17" s="15" t="str">
        <f t="shared" si="2"/>
        <v/>
      </c>
      <c r="AE17" s="15" t="str">
        <f t="shared" si="2"/>
        <v/>
      </c>
      <c r="AF17" s="15" t="str">
        <f t="shared" si="2"/>
        <v/>
      </c>
      <c r="AG17" s="15" t="str">
        <f t="shared" si="2"/>
        <v/>
      </c>
      <c r="AH17" s="5" t="str">
        <f t="shared" si="2"/>
        <v/>
      </c>
    </row>
    <row r="18" spans="2:34"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2"/>
        <v/>
      </c>
      <c r="AC18" s="15" t="str">
        <f t="shared" si="2"/>
        <v/>
      </c>
      <c r="AD18" s="15" t="str">
        <f t="shared" si="2"/>
        <v/>
      </c>
      <c r="AE18" s="15" t="str">
        <f t="shared" si="2"/>
        <v/>
      </c>
      <c r="AF18" s="15" t="str">
        <f t="shared" si="2"/>
        <v/>
      </c>
      <c r="AG18" s="15" t="str">
        <f t="shared" si="2"/>
        <v/>
      </c>
      <c r="AH18" s="5" t="str">
        <f t="shared" si="2"/>
        <v/>
      </c>
    </row>
    <row r="19" spans="2:34" s="30" customFormat="1" ht="15.75" x14ac:dyDescent="0.25">
      <c r="B19" s="36">
        <v>10</v>
      </c>
      <c r="C19" s="36">
        <v>12</v>
      </c>
      <c r="D19" s="36">
        <v>15</v>
      </c>
      <c r="E19" s="36"/>
      <c r="F19" s="12">
        <v>10</v>
      </c>
      <c r="G19" s="4">
        <f t="shared" ca="1" si="3"/>
        <v>13</v>
      </c>
      <c r="H19" s="19">
        <f t="shared" ca="1" si="0"/>
        <v>23</v>
      </c>
      <c r="I19" s="69">
        <f t="shared" ca="1" si="0"/>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2"/>
        <v xml:space="preserve"> </v>
      </c>
      <c r="AC19" s="15" t="str">
        <f t="shared" si="2"/>
        <v/>
      </c>
      <c r="AD19" s="15" t="str">
        <f t="shared" si="2"/>
        <v/>
      </c>
      <c r="AE19" s="15" t="str">
        <f t="shared" si="2"/>
        <v/>
      </c>
      <c r="AF19" s="15" t="str">
        <f t="shared" si="2"/>
        <v/>
      </c>
      <c r="AG19" s="15" t="str">
        <f t="shared" si="2"/>
        <v/>
      </c>
      <c r="AH19" s="5" t="str">
        <f t="shared" si="2"/>
        <v/>
      </c>
    </row>
    <row r="20" spans="2:34" s="30" customFormat="1" ht="15.75" x14ac:dyDescent="0.25">
      <c r="B20" s="36">
        <v>11</v>
      </c>
      <c r="C20" s="36">
        <v>13</v>
      </c>
      <c r="D20" s="36">
        <v>16</v>
      </c>
      <c r="E20" s="36"/>
      <c r="F20" s="12">
        <v>11</v>
      </c>
      <c r="G20" s="4">
        <f t="shared" ca="1" si="3"/>
        <v>14</v>
      </c>
      <c r="H20" s="19">
        <f t="shared" ca="1" si="0"/>
        <v>30</v>
      </c>
      <c r="I20" s="69">
        <f t="shared" ca="1" si="0"/>
        <v>99</v>
      </c>
      <c r="J20" s="92"/>
      <c r="K20" s="97"/>
      <c r="L20" s="76"/>
      <c r="M20" s="98"/>
      <c r="N20" s="32" t="str">
        <f t="shared" si="4"/>
        <v/>
      </c>
      <c r="O20" s="15" t="str">
        <f t="shared" si="1"/>
        <v/>
      </c>
      <c r="P20" s="15" t="str">
        <f t="shared" si="1"/>
        <v/>
      </c>
      <c r="Q20" s="15" t="str">
        <f t="shared" si="1"/>
        <v/>
      </c>
      <c r="R20" s="15" t="str">
        <f t="shared" si="1"/>
        <v/>
      </c>
      <c r="S20" s="15" t="str">
        <f t="shared" si="1"/>
        <v/>
      </c>
      <c r="T20" s="15" t="str">
        <f t="shared" si="1"/>
        <v/>
      </c>
      <c r="U20" s="15" t="str">
        <f t="shared" si="1"/>
        <v/>
      </c>
      <c r="V20" s="15" t="str">
        <f t="shared" si="1"/>
        <v/>
      </c>
      <c r="W20" s="15" t="str">
        <f t="shared" si="1"/>
        <v/>
      </c>
      <c r="X20" s="15" t="str">
        <f t="shared" si="1"/>
        <v xml:space="preserve"> </v>
      </c>
      <c r="Y20" s="15" t="str">
        <f t="shared" si="1"/>
        <v/>
      </c>
      <c r="Z20" s="15" t="str">
        <f t="shared" si="1"/>
        <v xml:space="preserve"> </v>
      </c>
      <c r="AA20" s="15" t="str">
        <f t="shared" si="1"/>
        <v/>
      </c>
      <c r="AB20" s="15" t="str">
        <f t="shared" si="2"/>
        <v/>
      </c>
      <c r="AC20" s="15" t="str">
        <f t="shared" si="2"/>
        <v xml:space="preserve"> </v>
      </c>
      <c r="AD20" s="15" t="str">
        <f t="shared" si="2"/>
        <v/>
      </c>
      <c r="AE20" s="15" t="str">
        <f t="shared" si="2"/>
        <v/>
      </c>
      <c r="AF20" s="15" t="str">
        <f t="shared" si="2"/>
        <v/>
      </c>
      <c r="AG20" s="15" t="str">
        <f t="shared" si="2"/>
        <v/>
      </c>
      <c r="AH20" s="5" t="str">
        <f t="shared" si="2"/>
        <v/>
      </c>
    </row>
    <row r="21" spans="2:34" s="30" customFormat="1" ht="15.75" x14ac:dyDescent="0.25">
      <c r="B21" s="36">
        <v>12</v>
      </c>
      <c r="C21" s="36">
        <v>14</v>
      </c>
      <c r="D21" s="36">
        <v>17</v>
      </c>
      <c r="E21" s="36"/>
      <c r="F21" s="12">
        <v>12</v>
      </c>
      <c r="G21" s="4">
        <f t="shared" ca="1" si="3"/>
        <v>23</v>
      </c>
      <c r="H21" s="19">
        <f t="shared" ca="1" si="0"/>
        <v>37</v>
      </c>
      <c r="I21" s="69">
        <f t="shared" ca="1" si="0"/>
        <v>0</v>
      </c>
      <c r="J21" s="92"/>
      <c r="K21" s="97"/>
      <c r="L21" s="76"/>
      <c r="M21" s="98"/>
      <c r="N21" s="32" t="str">
        <f t="shared" si="4"/>
        <v/>
      </c>
      <c r="O21" s="15" t="str">
        <f t="shared" si="1"/>
        <v/>
      </c>
      <c r="P21" s="15" t="str">
        <f t="shared" si="1"/>
        <v/>
      </c>
      <c r="Q21" s="15" t="str">
        <f t="shared" si="1"/>
        <v/>
      </c>
      <c r="R21" s="15" t="str">
        <f t="shared" si="1"/>
        <v/>
      </c>
      <c r="S21" s="15" t="str">
        <f t="shared" si="1"/>
        <v/>
      </c>
      <c r="T21" s="15" t="str">
        <f t="shared" si="1"/>
        <v/>
      </c>
      <c r="U21" s="15" t="str">
        <f t="shared" si="1"/>
        <v/>
      </c>
      <c r="V21" s="15" t="str">
        <f t="shared" si="1"/>
        <v/>
      </c>
      <c r="W21" s="15" t="str">
        <f t="shared" si="1"/>
        <v/>
      </c>
      <c r="X21" s="15" t="str">
        <f t="shared" si="1"/>
        <v/>
      </c>
      <c r="Y21" s="15" t="str">
        <f t="shared" si="1"/>
        <v xml:space="preserve"> </v>
      </c>
      <c r="Z21" s="15" t="str">
        <f t="shared" si="1"/>
        <v/>
      </c>
      <c r="AA21" s="15" t="str">
        <f t="shared" si="1"/>
        <v xml:space="preserve"> </v>
      </c>
      <c r="AB21" s="15" t="str">
        <f t="shared" si="2"/>
        <v/>
      </c>
      <c r="AC21" s="15" t="str">
        <f t="shared" si="2"/>
        <v/>
      </c>
      <c r="AD21" s="15" t="str">
        <f t="shared" si="2"/>
        <v xml:space="preserve"> </v>
      </c>
      <c r="AE21" s="15" t="str">
        <f t="shared" si="2"/>
        <v/>
      </c>
      <c r="AF21" s="15" t="str">
        <f t="shared" si="2"/>
        <v/>
      </c>
      <c r="AG21" s="15" t="str">
        <f t="shared" si="2"/>
        <v/>
      </c>
      <c r="AH21" s="5" t="str">
        <f t="shared" si="2"/>
        <v/>
      </c>
    </row>
    <row r="22" spans="2:34" s="30" customFormat="1" ht="15.75" x14ac:dyDescent="0.25">
      <c r="B22" s="36">
        <v>13</v>
      </c>
      <c r="C22" s="36">
        <v>15</v>
      </c>
      <c r="D22" s="36">
        <v>18</v>
      </c>
      <c r="E22" s="36"/>
      <c r="F22" s="12">
        <v>13</v>
      </c>
      <c r="G22" s="4">
        <f t="shared" ca="1" si="3"/>
        <v>30</v>
      </c>
      <c r="H22" s="19">
        <f t="shared" ca="1" si="0"/>
        <v>49</v>
      </c>
      <c r="I22" s="69">
        <f t="shared" ca="1" si="0"/>
        <v>0</v>
      </c>
      <c r="J22" s="92"/>
      <c r="K22" s="97"/>
      <c r="L22" s="76"/>
      <c r="M22" s="98"/>
      <c r="N22" s="32" t="str">
        <f t="shared" si="4"/>
        <v/>
      </c>
      <c r="O22" s="15" t="str">
        <f t="shared" si="1"/>
        <v/>
      </c>
      <c r="P22" s="15" t="str">
        <f t="shared" si="1"/>
        <v/>
      </c>
      <c r="Q22" s="15" t="str">
        <f t="shared" si="1"/>
        <v/>
      </c>
      <c r="R22" s="15" t="str">
        <f t="shared" si="1"/>
        <v/>
      </c>
      <c r="S22" s="15" t="str">
        <f t="shared" si="1"/>
        <v/>
      </c>
      <c r="T22" s="15" t="str">
        <f t="shared" si="1"/>
        <v/>
      </c>
      <c r="U22" s="15" t="str">
        <f t="shared" si="1"/>
        <v/>
      </c>
      <c r="V22" s="15" t="str">
        <f t="shared" si="1"/>
        <v/>
      </c>
      <c r="W22" s="15" t="str">
        <f t="shared" si="1"/>
        <v/>
      </c>
      <c r="X22" s="15" t="str">
        <f t="shared" si="1"/>
        <v/>
      </c>
      <c r="Y22" s="15" t="str">
        <f t="shared" si="1"/>
        <v/>
      </c>
      <c r="Z22" s="15" t="str">
        <f t="shared" si="1"/>
        <v xml:space="preserve"> </v>
      </c>
      <c r="AA22" s="15" t="str">
        <f t="shared" si="1"/>
        <v/>
      </c>
      <c r="AB22" s="15" t="str">
        <f t="shared" si="2"/>
        <v xml:space="preserve"> </v>
      </c>
      <c r="AC22" s="15" t="str">
        <f t="shared" si="2"/>
        <v/>
      </c>
      <c r="AD22" s="15" t="str">
        <f t="shared" si="2"/>
        <v/>
      </c>
      <c r="AE22" s="15" t="str">
        <f t="shared" si="2"/>
        <v xml:space="preserve"> </v>
      </c>
      <c r="AF22" s="15" t="str">
        <f t="shared" si="2"/>
        <v/>
      </c>
      <c r="AG22" s="15" t="str">
        <f t="shared" si="2"/>
        <v/>
      </c>
      <c r="AH22" s="5" t="str">
        <f t="shared" si="2"/>
        <v/>
      </c>
    </row>
    <row r="23" spans="2:34" s="30" customFormat="1" ht="15.75" x14ac:dyDescent="0.25">
      <c r="B23" s="36">
        <v>14</v>
      </c>
      <c r="C23" s="36">
        <v>16</v>
      </c>
      <c r="D23" s="36">
        <v>19</v>
      </c>
      <c r="E23" s="36"/>
      <c r="F23" s="12">
        <v>14</v>
      </c>
      <c r="G23" s="4">
        <f t="shared" ca="1" si="3"/>
        <v>37</v>
      </c>
      <c r="H23" s="19">
        <f t="shared" ca="1" si="0"/>
        <v>99</v>
      </c>
      <c r="I23" s="69">
        <f t="shared" ca="1" si="0"/>
        <v>0</v>
      </c>
      <c r="J23" s="92"/>
      <c r="K23" s="97"/>
      <c r="L23" s="76"/>
      <c r="M23" s="98"/>
      <c r="N23" s="32" t="str">
        <f t="shared" si="4"/>
        <v/>
      </c>
      <c r="O23" s="15" t="str">
        <f t="shared" si="1"/>
        <v/>
      </c>
      <c r="P23" s="15" t="str">
        <f t="shared" si="1"/>
        <v/>
      </c>
      <c r="Q23" s="15" t="str">
        <f t="shared" si="1"/>
        <v/>
      </c>
      <c r="R23" s="15" t="str">
        <f t="shared" si="1"/>
        <v/>
      </c>
      <c r="S23" s="15" t="str">
        <f t="shared" si="1"/>
        <v/>
      </c>
      <c r="T23" s="15" t="str">
        <f t="shared" si="1"/>
        <v/>
      </c>
      <c r="U23" s="15" t="str">
        <f t="shared" si="1"/>
        <v/>
      </c>
      <c r="V23" s="15" t="str">
        <f t="shared" si="1"/>
        <v/>
      </c>
      <c r="W23" s="15" t="str">
        <f t="shared" si="1"/>
        <v/>
      </c>
      <c r="X23" s="15" t="str">
        <f t="shared" si="1"/>
        <v/>
      </c>
      <c r="Y23" s="15" t="str">
        <f t="shared" si="1"/>
        <v/>
      </c>
      <c r="Z23" s="15" t="str">
        <f t="shared" si="1"/>
        <v/>
      </c>
      <c r="AA23" s="15" t="str">
        <f t="shared" si="1"/>
        <v xml:space="preserve"> </v>
      </c>
      <c r="AB23" s="15" t="str">
        <f t="shared" si="2"/>
        <v/>
      </c>
      <c r="AC23" s="15" t="str">
        <f t="shared" si="2"/>
        <v xml:space="preserve"> </v>
      </c>
      <c r="AD23" s="15" t="str">
        <f t="shared" si="2"/>
        <v/>
      </c>
      <c r="AE23" s="15" t="str">
        <f t="shared" si="2"/>
        <v/>
      </c>
      <c r="AF23" s="15" t="str">
        <f t="shared" si="2"/>
        <v xml:space="preserve"> </v>
      </c>
      <c r="AG23" s="15" t="str">
        <f t="shared" si="2"/>
        <v/>
      </c>
      <c r="AH23" s="5" t="str">
        <f t="shared" si="2"/>
        <v/>
      </c>
    </row>
    <row r="24" spans="2:34" s="30" customFormat="1" ht="15.75" x14ac:dyDescent="0.25">
      <c r="B24" s="36">
        <v>15</v>
      </c>
      <c r="C24" s="36">
        <v>17</v>
      </c>
      <c r="D24" s="36">
        <v>20</v>
      </c>
      <c r="E24" s="36"/>
      <c r="F24" s="12">
        <v>15</v>
      </c>
      <c r="G24" s="4">
        <f t="shared" ca="1" si="3"/>
        <v>49</v>
      </c>
      <c r="H24" s="19">
        <f t="shared" ca="1" si="0"/>
        <v>0</v>
      </c>
      <c r="I24" s="69">
        <f t="shared" ca="1" si="0"/>
        <v>0</v>
      </c>
      <c r="J24" s="92"/>
      <c r="K24" s="97"/>
      <c r="L24" s="76"/>
      <c r="M24" s="98"/>
      <c r="N24" s="32" t="str">
        <f t="shared" si="4"/>
        <v/>
      </c>
      <c r="O24" s="15" t="str">
        <f t="shared" si="1"/>
        <v/>
      </c>
      <c r="P24" s="15" t="str">
        <f t="shared" si="1"/>
        <v/>
      </c>
      <c r="Q24" s="15" t="str">
        <f t="shared" si="1"/>
        <v/>
      </c>
      <c r="R24" s="15" t="str">
        <f t="shared" si="1"/>
        <v/>
      </c>
      <c r="S24" s="15" t="str">
        <f t="shared" si="1"/>
        <v/>
      </c>
      <c r="T24" s="15" t="str">
        <f t="shared" si="1"/>
        <v/>
      </c>
      <c r="U24" s="15" t="str">
        <f t="shared" si="1"/>
        <v/>
      </c>
      <c r="V24" s="15" t="str">
        <f t="shared" si="1"/>
        <v/>
      </c>
      <c r="W24" s="15" t="str">
        <f t="shared" si="1"/>
        <v/>
      </c>
      <c r="X24" s="15" t="str">
        <f t="shared" si="1"/>
        <v/>
      </c>
      <c r="Y24" s="15" t="str">
        <f t="shared" si="1"/>
        <v/>
      </c>
      <c r="Z24" s="15" t="str">
        <f t="shared" si="1"/>
        <v/>
      </c>
      <c r="AA24" s="15" t="str">
        <f t="shared" si="1"/>
        <v/>
      </c>
      <c r="AB24" s="15" t="str">
        <f t="shared" si="2"/>
        <v xml:space="preserve"> </v>
      </c>
      <c r="AC24" s="15" t="str">
        <f t="shared" si="2"/>
        <v/>
      </c>
      <c r="AD24" s="15" t="str">
        <f t="shared" si="2"/>
        <v xml:space="preserve"> </v>
      </c>
      <c r="AE24" s="15" t="str">
        <f t="shared" si="2"/>
        <v/>
      </c>
      <c r="AF24" s="15" t="str">
        <f t="shared" si="2"/>
        <v/>
      </c>
      <c r="AG24" s="15" t="str">
        <f t="shared" si="2"/>
        <v xml:space="preserve"> </v>
      </c>
      <c r="AH24" s="5" t="str">
        <f t="shared" si="2"/>
        <v/>
      </c>
    </row>
    <row r="25" spans="2:34" s="30" customFormat="1" ht="15.75" x14ac:dyDescent="0.25">
      <c r="B25" s="36">
        <v>16</v>
      </c>
      <c r="C25" s="36">
        <v>18</v>
      </c>
      <c r="D25" s="36">
        <v>21</v>
      </c>
      <c r="E25" s="36"/>
      <c r="F25" s="12">
        <v>16</v>
      </c>
      <c r="G25" s="4">
        <f t="shared" ca="1" si="3"/>
        <v>99</v>
      </c>
      <c r="H25" s="19">
        <f t="shared" ca="1" si="0"/>
        <v>0</v>
      </c>
      <c r="I25" s="69">
        <f t="shared" ca="1" si="0"/>
        <v>0</v>
      </c>
      <c r="J25" s="92"/>
      <c r="K25" s="97"/>
      <c r="L25" s="76"/>
      <c r="M25" s="98"/>
      <c r="N25" s="32" t="str">
        <f t="shared" si="4"/>
        <v/>
      </c>
      <c r="O25" s="15" t="str">
        <f t="shared" si="1"/>
        <v/>
      </c>
      <c r="P25" s="15" t="str">
        <f t="shared" si="1"/>
        <v/>
      </c>
      <c r="Q25" s="15" t="str">
        <f t="shared" si="1"/>
        <v/>
      </c>
      <c r="R25" s="15" t="str">
        <f t="shared" si="1"/>
        <v/>
      </c>
      <c r="S25" s="15" t="str">
        <f t="shared" si="1"/>
        <v/>
      </c>
      <c r="T25" s="15" t="str">
        <f t="shared" si="1"/>
        <v/>
      </c>
      <c r="U25" s="15" t="str">
        <f t="shared" si="1"/>
        <v/>
      </c>
      <c r="V25" s="15" t="str">
        <f t="shared" si="1"/>
        <v/>
      </c>
      <c r="W25" s="15" t="str">
        <f t="shared" si="1"/>
        <v/>
      </c>
      <c r="X25" s="15" t="str">
        <f t="shared" si="1"/>
        <v/>
      </c>
      <c r="Y25" s="15" t="str">
        <f t="shared" si="1"/>
        <v/>
      </c>
      <c r="Z25" s="15" t="str">
        <f t="shared" si="1"/>
        <v/>
      </c>
      <c r="AA25" s="15" t="str">
        <f t="shared" si="1"/>
        <v/>
      </c>
      <c r="AB25" s="15" t="str">
        <f t="shared" si="2"/>
        <v/>
      </c>
      <c r="AC25" s="15" t="str">
        <f t="shared" si="2"/>
        <v xml:space="preserve"> </v>
      </c>
      <c r="AD25" s="15" t="str">
        <f t="shared" si="2"/>
        <v/>
      </c>
      <c r="AE25" s="15" t="str">
        <f t="shared" si="2"/>
        <v xml:space="preserve"> </v>
      </c>
      <c r="AF25" s="15" t="str">
        <f t="shared" si="2"/>
        <v/>
      </c>
      <c r="AG25" s="15" t="str">
        <f t="shared" si="2"/>
        <v/>
      </c>
      <c r="AH25" s="5" t="str">
        <f t="shared" si="2"/>
        <v xml:space="preserve"> </v>
      </c>
    </row>
    <row r="26" spans="2:34" s="30" customFormat="1" ht="15.75" x14ac:dyDescent="0.25">
      <c r="B26" s="36">
        <v>17</v>
      </c>
      <c r="C26" s="36">
        <v>19</v>
      </c>
      <c r="D26" s="36">
        <v>1</v>
      </c>
      <c r="E26" s="36"/>
      <c r="F26" s="12">
        <v>17</v>
      </c>
      <c r="G26" s="4">
        <f t="shared" ca="1" si="3"/>
        <v>0</v>
      </c>
      <c r="H26" s="19">
        <f t="shared" ca="1" si="3"/>
        <v>0</v>
      </c>
      <c r="I26" s="69">
        <f t="shared" ca="1" si="3"/>
        <v>1</v>
      </c>
      <c r="J26" s="92"/>
      <c r="K26" s="97"/>
      <c r="L26" s="76"/>
      <c r="M26" s="98"/>
      <c r="N26" s="32" t="str">
        <f t="shared" si="4"/>
        <v xml:space="preserve"> </v>
      </c>
      <c r="O26" s="15" t="str">
        <f t="shared" si="1"/>
        <v/>
      </c>
      <c r="P26" s="15" t="str">
        <f t="shared" si="1"/>
        <v/>
      </c>
      <c r="Q26" s="15" t="str">
        <f t="shared" si="1"/>
        <v/>
      </c>
      <c r="R26" s="15" t="str">
        <f t="shared" si="1"/>
        <v/>
      </c>
      <c r="S26" s="15" t="str">
        <f t="shared" si="1"/>
        <v/>
      </c>
      <c r="T26" s="15" t="str">
        <f t="shared" si="1"/>
        <v/>
      </c>
      <c r="U26" s="15" t="str">
        <f t="shared" si="1"/>
        <v/>
      </c>
      <c r="V26" s="15" t="str">
        <f t="shared" si="1"/>
        <v/>
      </c>
      <c r="W26" s="15" t="str">
        <f t="shared" si="1"/>
        <v/>
      </c>
      <c r="X26" s="15" t="str">
        <f t="shared" si="1"/>
        <v/>
      </c>
      <c r="Y26" s="15" t="str">
        <f t="shared" si="1"/>
        <v/>
      </c>
      <c r="Z26" s="15" t="str">
        <f t="shared" si="1"/>
        <v/>
      </c>
      <c r="AA26" s="15" t="str">
        <f t="shared" si="1"/>
        <v/>
      </c>
      <c r="AB26" s="15" t="str">
        <f t="shared" si="1"/>
        <v/>
      </c>
      <c r="AC26" s="15" t="str">
        <f t="shared" si="1"/>
        <v/>
      </c>
      <c r="AD26" s="15" t="str">
        <f t="shared" si="1"/>
        <v xml:space="preserve"> </v>
      </c>
      <c r="AE26" s="15" t="str">
        <f t="shared" ref="AB26:AH30" si="5">IF(ISNA(MATCH(COLUMN()-13,$B26:$E26,0)),"",IF($K26=MATCH(COLUMN()-13,$B26:$E26,0),3,IF($L26=MATCH(COLUMN()-13,$B26:$E26,0),2,IF($M26=MATCH(COLUMN()-13,$B26:$E26,0),1," "))))</f>
        <v/>
      </c>
      <c r="AF26" s="15" t="str">
        <f t="shared" si="5"/>
        <v xml:space="preserve"> </v>
      </c>
      <c r="AG26" s="15" t="str">
        <f t="shared" si="5"/>
        <v/>
      </c>
      <c r="AH26" s="5" t="str">
        <f t="shared" si="5"/>
        <v/>
      </c>
    </row>
    <row r="27" spans="2:34" s="30" customFormat="1" ht="15.75" x14ac:dyDescent="0.25">
      <c r="B27" s="36">
        <v>18</v>
      </c>
      <c r="C27" s="36">
        <v>20</v>
      </c>
      <c r="D27" s="36">
        <v>2</v>
      </c>
      <c r="E27" s="36"/>
      <c r="F27" s="12">
        <v>18</v>
      </c>
      <c r="G27" s="4">
        <f t="shared" ref="G27:I29" ca="1" si="6">INDIRECT(ADDRESS(B27+1,1,,,"Names"))</f>
        <v>0</v>
      </c>
      <c r="H27" s="19">
        <f t="shared" ca="1" si="6"/>
        <v>0</v>
      </c>
      <c r="I27" s="69">
        <f t="shared" ca="1" si="6"/>
        <v>2</v>
      </c>
      <c r="J27" s="92"/>
      <c r="K27" s="97"/>
      <c r="L27" s="76"/>
      <c r="M27" s="98"/>
      <c r="N27" s="32" t="str">
        <f t="shared" si="4"/>
        <v/>
      </c>
      <c r="O27" s="15" t="str">
        <f t="shared" si="1"/>
        <v xml:space="preserve"> </v>
      </c>
      <c r="P27" s="15" t="str">
        <f t="shared" si="1"/>
        <v/>
      </c>
      <c r="Q27" s="15" t="str">
        <f t="shared" si="1"/>
        <v/>
      </c>
      <c r="R27" s="15" t="str">
        <f t="shared" si="1"/>
        <v/>
      </c>
      <c r="S27" s="15" t="str">
        <f t="shared" si="1"/>
        <v/>
      </c>
      <c r="T27" s="15" t="str">
        <f t="shared" si="1"/>
        <v/>
      </c>
      <c r="U27" s="15" t="str">
        <f t="shared" si="1"/>
        <v/>
      </c>
      <c r="V27" s="15" t="str">
        <f t="shared" si="1"/>
        <v/>
      </c>
      <c r="W27" s="15" t="str">
        <f t="shared" si="1"/>
        <v/>
      </c>
      <c r="X27" s="15" t="str">
        <f t="shared" si="1"/>
        <v/>
      </c>
      <c r="Y27" s="15" t="str">
        <f t="shared" si="1"/>
        <v/>
      </c>
      <c r="Z27" s="15" t="str">
        <f t="shared" si="1"/>
        <v/>
      </c>
      <c r="AA27" s="15" t="str">
        <f t="shared" si="1"/>
        <v/>
      </c>
      <c r="AB27" s="15" t="str">
        <f t="shared" si="5"/>
        <v/>
      </c>
      <c r="AC27" s="15" t="str">
        <f t="shared" si="5"/>
        <v/>
      </c>
      <c r="AD27" s="15" t="str">
        <f t="shared" si="5"/>
        <v/>
      </c>
      <c r="AE27" s="15" t="str">
        <f t="shared" si="5"/>
        <v xml:space="preserve"> </v>
      </c>
      <c r="AF27" s="15" t="str">
        <f t="shared" si="5"/>
        <v/>
      </c>
      <c r="AG27" s="15" t="str">
        <f t="shared" si="5"/>
        <v xml:space="preserve"> </v>
      </c>
      <c r="AH27" s="5" t="str">
        <f t="shared" si="5"/>
        <v/>
      </c>
    </row>
    <row r="28" spans="2:34" s="30" customFormat="1" ht="15.75" x14ac:dyDescent="0.25">
      <c r="B28" s="36">
        <v>19</v>
      </c>
      <c r="C28" s="36">
        <v>21</v>
      </c>
      <c r="D28" s="36">
        <v>3</v>
      </c>
      <c r="E28" s="36"/>
      <c r="F28" s="12">
        <v>19</v>
      </c>
      <c r="G28" s="4">
        <f t="shared" ca="1" si="6"/>
        <v>0</v>
      </c>
      <c r="H28" s="19">
        <f t="shared" ca="1" si="6"/>
        <v>0</v>
      </c>
      <c r="I28" s="69">
        <f t="shared" ca="1" si="6"/>
        <v>3</v>
      </c>
      <c r="J28" s="92"/>
      <c r="K28" s="97"/>
      <c r="L28" s="76"/>
      <c r="M28" s="98"/>
      <c r="N28" s="32" t="str">
        <f t="shared" si="4"/>
        <v/>
      </c>
      <c r="O28" s="15" t="str">
        <f t="shared" si="1"/>
        <v/>
      </c>
      <c r="P28" s="15" t="str">
        <f t="shared" si="1"/>
        <v xml:space="preserve"> </v>
      </c>
      <c r="Q28" s="15" t="str">
        <f t="shared" si="1"/>
        <v/>
      </c>
      <c r="R28" s="15" t="str">
        <f t="shared" si="1"/>
        <v/>
      </c>
      <c r="S28" s="15" t="str">
        <f t="shared" si="1"/>
        <v/>
      </c>
      <c r="T28" s="15" t="str">
        <f t="shared" si="1"/>
        <v/>
      </c>
      <c r="U28" s="15" t="str">
        <f t="shared" ref="U28:AA28" si="7">IF(ISNA(MATCH(COLUMN()-13,$B28:$E28,0)),"",IF($K28=MATCH(COLUMN()-13,$B28:$E28,0),3,IF($L28=MATCH(COLUMN()-13,$B28:$E28,0),2,IF($M28=MATCH(COLUMN()-13,$B28:$E28,0),1," "))))</f>
        <v/>
      </c>
      <c r="V28" s="15" t="str">
        <f t="shared" si="7"/>
        <v/>
      </c>
      <c r="W28" s="15" t="str">
        <f t="shared" si="7"/>
        <v/>
      </c>
      <c r="X28" s="15" t="str">
        <f t="shared" si="7"/>
        <v/>
      </c>
      <c r="Y28" s="15" t="str">
        <f t="shared" si="7"/>
        <v/>
      </c>
      <c r="Z28" s="15" t="str">
        <f t="shared" si="7"/>
        <v/>
      </c>
      <c r="AA28" s="15" t="str">
        <f t="shared" si="7"/>
        <v/>
      </c>
      <c r="AB28" s="15" t="str">
        <f t="shared" si="5"/>
        <v/>
      </c>
      <c r="AC28" s="15" t="str">
        <f t="shared" si="5"/>
        <v/>
      </c>
      <c r="AD28" s="15" t="str">
        <f t="shared" si="5"/>
        <v/>
      </c>
      <c r="AE28" s="15" t="str">
        <f t="shared" si="5"/>
        <v/>
      </c>
      <c r="AF28" s="15" t="str">
        <f t="shared" si="5"/>
        <v xml:space="preserve"> </v>
      </c>
      <c r="AG28" s="15" t="str">
        <f t="shared" si="5"/>
        <v/>
      </c>
      <c r="AH28" s="5" t="str">
        <f t="shared" si="5"/>
        <v xml:space="preserve"> </v>
      </c>
    </row>
    <row r="29" spans="2:34" s="30" customFormat="1" ht="15.75" x14ac:dyDescent="0.25">
      <c r="B29" s="36">
        <v>20</v>
      </c>
      <c r="C29" s="36">
        <v>1</v>
      </c>
      <c r="D29" s="36">
        <v>4</v>
      </c>
      <c r="E29" s="36"/>
      <c r="F29" s="12">
        <v>20</v>
      </c>
      <c r="G29" s="4">
        <f t="shared" ca="1" si="6"/>
        <v>0</v>
      </c>
      <c r="H29" s="19">
        <f t="shared" ca="1" si="6"/>
        <v>1</v>
      </c>
      <c r="I29" s="69">
        <f t="shared" ca="1" si="6"/>
        <v>4</v>
      </c>
      <c r="J29" s="92"/>
      <c r="K29" s="97"/>
      <c r="L29" s="76"/>
      <c r="M29" s="98"/>
      <c r="N29" s="32" t="str">
        <f t="shared" si="4"/>
        <v xml:space="preserve"> </v>
      </c>
      <c r="O29" s="15" t="str">
        <f t="shared" si="4"/>
        <v/>
      </c>
      <c r="P29" s="15" t="str">
        <f t="shared" si="4"/>
        <v/>
      </c>
      <c r="Q29" s="15" t="str">
        <f t="shared" si="4"/>
        <v xml:space="preserve"> </v>
      </c>
      <c r="R29" s="15" t="str">
        <f t="shared" si="4"/>
        <v/>
      </c>
      <c r="S29" s="15" t="str">
        <f t="shared" si="4"/>
        <v/>
      </c>
      <c r="T29" s="15" t="str">
        <f t="shared" si="4"/>
        <v/>
      </c>
      <c r="U29" s="15" t="str">
        <f t="shared" si="4"/>
        <v/>
      </c>
      <c r="V29" s="15" t="str">
        <f t="shared" si="4"/>
        <v/>
      </c>
      <c r="W29" s="15" t="str">
        <f t="shared" si="4"/>
        <v/>
      </c>
      <c r="X29" s="15" t="str">
        <f t="shared" si="4"/>
        <v/>
      </c>
      <c r="Y29" s="15" t="str">
        <f t="shared" si="4"/>
        <v/>
      </c>
      <c r="Z29" s="15" t="str">
        <f t="shared" si="4"/>
        <v/>
      </c>
      <c r="AA29" s="15" t="str">
        <f t="shared" si="4"/>
        <v/>
      </c>
      <c r="AB29" s="15" t="str">
        <f t="shared" si="5"/>
        <v/>
      </c>
      <c r="AC29" s="15" t="str">
        <f t="shared" si="5"/>
        <v/>
      </c>
      <c r="AD29" s="15" t="str">
        <f t="shared" si="5"/>
        <v/>
      </c>
      <c r="AE29" s="15" t="str">
        <f t="shared" si="5"/>
        <v/>
      </c>
      <c r="AF29" s="15" t="str">
        <f t="shared" si="5"/>
        <v/>
      </c>
      <c r="AG29" s="15" t="str">
        <f t="shared" si="5"/>
        <v xml:space="preserve"> </v>
      </c>
      <c r="AH29" s="5" t="str">
        <f t="shared" si="5"/>
        <v/>
      </c>
    </row>
    <row r="30" spans="2:34" s="30" customFormat="1" ht="16.5" thickBot="1" x14ac:dyDescent="0.3">
      <c r="B30" s="36">
        <v>21</v>
      </c>
      <c r="C30" s="36">
        <v>2</v>
      </c>
      <c r="D30" s="36">
        <v>5</v>
      </c>
      <c r="E30" s="36"/>
      <c r="F30" s="13">
        <v>20</v>
      </c>
      <c r="G30" s="6">
        <f t="shared" ref="G30" ca="1" si="8">INDIRECT(ADDRESS(B30+1,1,,,"Names"))</f>
        <v>0</v>
      </c>
      <c r="H30" s="39">
        <f t="shared" ref="H30" ca="1" si="9">INDIRECT(ADDRESS(C30+1,1,,,"Names"))</f>
        <v>2</v>
      </c>
      <c r="I30" s="40">
        <f t="shared" ref="I30" ca="1" si="10">INDIRECT(ADDRESS(D30+1,1,,,"Names"))</f>
        <v>5</v>
      </c>
      <c r="J30" s="93"/>
      <c r="K30" s="99"/>
      <c r="L30" s="100"/>
      <c r="M30" s="101"/>
      <c r="N30" s="20" t="str">
        <f t="shared" si="4"/>
        <v/>
      </c>
      <c r="O30" s="16" t="str">
        <f t="shared" si="4"/>
        <v xml:space="preserve"> </v>
      </c>
      <c r="P30" s="16" t="str">
        <f t="shared" si="4"/>
        <v/>
      </c>
      <c r="Q30" s="16" t="str">
        <f t="shared" si="4"/>
        <v/>
      </c>
      <c r="R30" s="16" t="str">
        <f t="shared" si="4"/>
        <v xml:space="preserve"> </v>
      </c>
      <c r="S30" s="16" t="str">
        <f t="shared" si="4"/>
        <v/>
      </c>
      <c r="T30" s="16" t="str">
        <f t="shared" si="4"/>
        <v/>
      </c>
      <c r="U30" s="16" t="str">
        <f t="shared" si="4"/>
        <v/>
      </c>
      <c r="V30" s="16" t="str">
        <f t="shared" si="4"/>
        <v/>
      </c>
      <c r="W30" s="16" t="str">
        <f t="shared" si="4"/>
        <v/>
      </c>
      <c r="X30" s="16" t="str">
        <f t="shared" si="4"/>
        <v/>
      </c>
      <c r="Y30" s="16" t="str">
        <f t="shared" si="4"/>
        <v/>
      </c>
      <c r="Z30" s="16" t="str">
        <f t="shared" si="4"/>
        <v/>
      </c>
      <c r="AA30" s="16" t="str">
        <f t="shared" si="4"/>
        <v/>
      </c>
      <c r="AB30" s="16" t="str">
        <f t="shared" si="5"/>
        <v/>
      </c>
      <c r="AC30" s="16" t="str">
        <f t="shared" si="5"/>
        <v/>
      </c>
      <c r="AD30" s="16" t="str">
        <f t="shared" si="5"/>
        <v/>
      </c>
      <c r="AE30" s="16" t="str">
        <f t="shared" si="5"/>
        <v/>
      </c>
      <c r="AF30" s="16" t="str">
        <f t="shared" si="5"/>
        <v/>
      </c>
      <c r="AG30" s="16" t="str">
        <f t="shared" si="5"/>
        <v/>
      </c>
      <c r="AH30" s="43" t="str">
        <f t="shared" si="5"/>
        <v xml:space="preserve"> </v>
      </c>
    </row>
    <row r="31" spans="2:34" ht="15.75" x14ac:dyDescent="0.25">
      <c r="K31" s="151" t="s">
        <v>4</v>
      </c>
      <c r="L31" s="152"/>
      <c r="M31" s="153"/>
      <c r="N31" s="112" t="str">
        <f t="shared" ref="N31:AG31" si="11">IF(SUM(N10:N29)&lt;1," ",SUM(N10:N29))</f>
        <v xml:space="preserve"> </v>
      </c>
      <c r="O31" s="45" t="str">
        <f t="shared" si="11"/>
        <v xml:space="preserve"> </v>
      </c>
      <c r="P31" s="45" t="str">
        <f t="shared" si="11"/>
        <v xml:space="preserve"> </v>
      </c>
      <c r="Q31" s="45" t="str">
        <f t="shared" si="11"/>
        <v xml:space="preserve"> </v>
      </c>
      <c r="R31" s="45" t="str">
        <f t="shared" si="11"/>
        <v xml:space="preserve"> </v>
      </c>
      <c r="S31" s="45" t="str">
        <f t="shared" si="11"/>
        <v xml:space="preserve"> </v>
      </c>
      <c r="T31" s="45" t="str">
        <f t="shared" si="11"/>
        <v xml:space="preserve"> </v>
      </c>
      <c r="U31" s="45" t="str">
        <f t="shared" si="11"/>
        <v xml:space="preserve"> </v>
      </c>
      <c r="V31" s="45" t="str">
        <f t="shared" si="11"/>
        <v xml:space="preserve"> </v>
      </c>
      <c r="W31" s="45" t="str">
        <f t="shared" si="11"/>
        <v xml:space="preserve"> </v>
      </c>
      <c r="X31" s="45" t="str">
        <f t="shared" si="11"/>
        <v xml:space="preserve"> </v>
      </c>
      <c r="Y31" s="45" t="str">
        <f t="shared" si="11"/>
        <v xml:space="preserve"> </v>
      </c>
      <c r="Z31" s="45" t="str">
        <f t="shared" si="11"/>
        <v xml:space="preserve"> </v>
      </c>
      <c r="AA31" s="45" t="str">
        <f t="shared" si="11"/>
        <v xml:space="preserve"> </v>
      </c>
      <c r="AB31" s="45" t="str">
        <f t="shared" si="11"/>
        <v xml:space="preserve"> </v>
      </c>
      <c r="AC31" s="45" t="str">
        <f t="shared" si="11"/>
        <v xml:space="preserve"> </v>
      </c>
      <c r="AD31" s="45" t="str">
        <f t="shared" si="11"/>
        <v xml:space="preserve"> </v>
      </c>
      <c r="AE31" s="45" t="str">
        <f t="shared" si="11"/>
        <v xml:space="preserve"> </v>
      </c>
      <c r="AF31" s="45" t="str">
        <f t="shared" si="11"/>
        <v xml:space="preserve"> </v>
      </c>
      <c r="AG31" s="45" t="str">
        <f t="shared" si="11"/>
        <v xml:space="preserve"> </v>
      </c>
      <c r="AH31" s="46" t="str">
        <f t="shared" ref="AH31" si="12">IF(SUM(AH10:AH29)&lt;1," ",SUM(AH10:AH29))</f>
        <v xml:space="preserve"> </v>
      </c>
    </row>
    <row r="32" spans="2:34" ht="16.5" thickBot="1" x14ac:dyDescent="0.3">
      <c r="K32" s="141" t="s">
        <v>5</v>
      </c>
      <c r="L32" s="142"/>
      <c r="M32" s="143"/>
      <c r="N32" s="120" t="e">
        <f>RANK(N31,$N31:$AL31,0)</f>
        <v>#VALUE!</v>
      </c>
      <c r="O32" s="121" t="e">
        <f t="shared" ref="O32:AH32" si="13">RANK(O31,$N31:$AL31,0)</f>
        <v>#VALUE!</v>
      </c>
      <c r="P32" s="121" t="e">
        <f t="shared" si="13"/>
        <v>#VALUE!</v>
      </c>
      <c r="Q32" s="121" t="e">
        <f t="shared" si="13"/>
        <v>#VALUE!</v>
      </c>
      <c r="R32" s="121" t="e">
        <f t="shared" si="13"/>
        <v>#VALUE!</v>
      </c>
      <c r="S32" s="121" t="e">
        <f t="shared" si="13"/>
        <v>#VALUE!</v>
      </c>
      <c r="T32" s="121" t="e">
        <f t="shared" si="13"/>
        <v>#VALUE!</v>
      </c>
      <c r="U32" s="121" t="e">
        <f t="shared" si="13"/>
        <v>#VALUE!</v>
      </c>
      <c r="V32" s="121" t="e">
        <f t="shared" si="13"/>
        <v>#VALUE!</v>
      </c>
      <c r="W32" s="121" t="e">
        <f t="shared" si="13"/>
        <v>#VALUE!</v>
      </c>
      <c r="X32" s="121" t="e">
        <f t="shared" si="13"/>
        <v>#VALUE!</v>
      </c>
      <c r="Y32" s="121" t="e">
        <f t="shared" si="13"/>
        <v>#VALUE!</v>
      </c>
      <c r="Z32" s="121" t="e">
        <f t="shared" si="13"/>
        <v>#VALUE!</v>
      </c>
      <c r="AA32" s="121" t="e">
        <f t="shared" si="13"/>
        <v>#VALUE!</v>
      </c>
      <c r="AB32" s="121" t="e">
        <f t="shared" si="13"/>
        <v>#VALUE!</v>
      </c>
      <c r="AC32" s="121" t="e">
        <f t="shared" si="13"/>
        <v>#VALUE!</v>
      </c>
      <c r="AD32" s="121" t="e">
        <f t="shared" si="13"/>
        <v>#VALUE!</v>
      </c>
      <c r="AE32" s="121" t="e">
        <f t="shared" si="13"/>
        <v>#VALUE!</v>
      </c>
      <c r="AF32" s="121" t="e">
        <f t="shared" si="13"/>
        <v>#VALUE!</v>
      </c>
      <c r="AG32" s="121" t="e">
        <f t="shared" si="13"/>
        <v>#VALUE!</v>
      </c>
      <c r="AH32" s="122" t="e">
        <f t="shared" si="13"/>
        <v>#VALUE!</v>
      </c>
    </row>
    <row r="33" spans="14:34" x14ac:dyDescent="0.2">
      <c r="N33" s="7"/>
      <c r="O33" s="7"/>
      <c r="P33" s="7"/>
      <c r="Q33" s="7"/>
    </row>
    <row r="34" spans="14:34" s="31" customFormat="1" ht="135.75" customHeight="1" x14ac:dyDescent="0.2">
      <c r="N34" s="8" t="str">
        <f>+Names!$B$2</f>
        <v>Luke</v>
      </c>
      <c r="O34" s="8" t="str">
        <f>+Names!$B$3</f>
        <v>Ro</v>
      </c>
      <c r="P34" s="8" t="str">
        <f>+Names!$B$4</f>
        <v>Caleb</v>
      </c>
      <c r="Q34" s="8" t="str">
        <f>+Names!$B$5</f>
        <v>Zau</v>
      </c>
      <c r="R34" s="8" t="str">
        <f>+Names!$B$6</f>
        <v>Brady</v>
      </c>
      <c r="S34" s="8" t="str">
        <f>+Names!$B$7</f>
        <v>Theo</v>
      </c>
      <c r="T34" s="8" t="str">
        <f>+Names!$B$8</f>
        <v>Jonathan</v>
      </c>
      <c r="U34" s="8" t="str">
        <f>+Names!$B$9</f>
        <v>Brenton</v>
      </c>
      <c r="V34" s="8" t="str">
        <f>+Names!$B$10</f>
        <v>Jospe</v>
      </c>
      <c r="W34" s="8" t="str">
        <f>+Names!$B$11</f>
        <v>Emery</v>
      </c>
      <c r="X34" s="8" t="str">
        <f>+Names!$B$12</f>
        <v>Isaac</v>
      </c>
      <c r="Y34" s="8" t="str">
        <f>+Names!$B$13</f>
        <v>Alain</v>
      </c>
      <c r="Z34" s="8" t="str">
        <f>+Names!$B$14</f>
        <v>Silas</v>
      </c>
      <c r="AA34" s="8" t="str">
        <f>+Names!$B$15</f>
        <v>De</v>
      </c>
      <c r="AB34" s="8">
        <f>+Names!$B$19</f>
        <v>0</v>
      </c>
      <c r="AC34" s="8">
        <f>+Names!$B$20</f>
        <v>0</v>
      </c>
      <c r="AD34" s="8">
        <f>+Names!$B$18</f>
        <v>0</v>
      </c>
      <c r="AE34" s="8" t="e">
        <f>+Names!#REF!</f>
        <v>#REF!</v>
      </c>
      <c r="AF34" s="8" t="e">
        <f>+Names!#REF!</f>
        <v>#REF!</v>
      </c>
      <c r="AG34" s="8">
        <f>+Names!$B$21</f>
        <v>0</v>
      </c>
      <c r="AH34" s="8">
        <f>+Names!$B$22</f>
        <v>0</v>
      </c>
    </row>
  </sheetData>
  <sheetProtection sheet="1" objects="1" scenarios="1" selectLockedCells="1"/>
  <mergeCells count="20">
    <mergeCell ref="K32:M32"/>
    <mergeCell ref="F4:G4"/>
    <mergeCell ref="M4:N4"/>
    <mergeCell ref="S4:U4"/>
    <mergeCell ref="F5:G5"/>
    <mergeCell ref="M5:N5"/>
    <mergeCell ref="S5:U5"/>
    <mergeCell ref="M6:N6"/>
    <mergeCell ref="G8:I8"/>
    <mergeCell ref="K8:M8"/>
    <mergeCell ref="N8:AG8"/>
    <mergeCell ref="K31:M31"/>
    <mergeCell ref="F3:G3"/>
    <mergeCell ref="M3:N3"/>
    <mergeCell ref="S3:U3"/>
    <mergeCell ref="F1:AB1"/>
    <mergeCell ref="F2:G2"/>
    <mergeCell ref="I2:L2"/>
    <mergeCell ref="M2:N2"/>
    <mergeCell ref="R2:U2"/>
  </mergeCells>
  <conditionalFormatting sqref="F10:F30">
    <cfRule type="expression" dxfId="449" priority="28" stopIfTrue="1">
      <formula>$H$2=F10</formula>
    </cfRule>
  </conditionalFormatting>
  <conditionalFormatting sqref="G10">
    <cfRule type="expression" dxfId="448" priority="10" stopIfTrue="1">
      <formula>$K$10=1</formula>
    </cfRule>
    <cfRule type="expression" dxfId="447" priority="11" stopIfTrue="1">
      <formula>$L$10=1</formula>
    </cfRule>
    <cfRule type="expression" dxfId="446" priority="12" stopIfTrue="1">
      <formula>$M$10=1</formula>
    </cfRule>
  </conditionalFormatting>
  <conditionalFormatting sqref="G11:G30">
    <cfRule type="expression" dxfId="445" priority="13" stopIfTrue="1">
      <formula>K11=1</formula>
    </cfRule>
    <cfRule type="expression" dxfId="444" priority="14" stopIfTrue="1">
      <formula>L11=1</formula>
    </cfRule>
    <cfRule type="expression" dxfId="443" priority="15" stopIfTrue="1">
      <formula>M11=1</formula>
    </cfRule>
  </conditionalFormatting>
  <conditionalFormatting sqref="H10:H30">
    <cfRule type="expression" dxfId="442" priority="16" stopIfTrue="1">
      <formula>K10=2</formula>
    </cfRule>
    <cfRule type="expression" dxfId="441" priority="17" stopIfTrue="1">
      <formula>L10=2</formula>
    </cfRule>
    <cfRule type="expression" dxfId="440" priority="18" stopIfTrue="1">
      <formula>M10=2</formula>
    </cfRule>
  </conditionalFormatting>
  <conditionalFormatting sqref="I10:I30">
    <cfRule type="expression" dxfId="439" priority="19" stopIfTrue="1">
      <formula>K10=3</formula>
    </cfRule>
    <cfRule type="expression" dxfId="438" priority="20" stopIfTrue="1">
      <formula>L10=3</formula>
    </cfRule>
    <cfRule type="expression" dxfId="437" priority="21" stopIfTrue="1">
      <formula>M10=3</formula>
    </cfRule>
  </conditionalFormatting>
  <conditionalFormatting sqref="I3:N6">
    <cfRule type="expression" dxfId="436" priority="25" stopIfTrue="1">
      <formula>$M3="1st"</formula>
    </cfRule>
    <cfRule type="expression" dxfId="435" priority="26" stopIfTrue="1">
      <formula>$M3="2nd"</formula>
    </cfRule>
    <cfRule type="expression" dxfId="434" priority="27" stopIfTrue="1">
      <formula>$M3="3rd"</formula>
    </cfRule>
  </conditionalFormatting>
  <conditionalFormatting sqref="J10:J30">
    <cfRule type="expression" dxfId="433" priority="22" stopIfTrue="1">
      <formula>K10=4</formula>
    </cfRule>
    <cfRule type="expression" dxfId="432" priority="23" stopIfTrue="1">
      <formula>L10=4</formula>
    </cfRule>
    <cfRule type="expression" dxfId="431" priority="24" stopIfTrue="1">
      <formula>M10=4</formula>
    </cfRule>
  </conditionalFormatting>
  <conditionalFormatting sqref="N10:AH30">
    <cfRule type="cellIs" dxfId="430" priority="7" stopIfTrue="1" operator="equal">
      <formula>3</formula>
    </cfRule>
    <cfRule type="cellIs" dxfId="429" priority="8" stopIfTrue="1" operator="equal">
      <formula>2</formula>
    </cfRule>
    <cfRule type="cellIs" dxfId="428" priority="9" stopIfTrue="1" operator="equal">
      <formula>1</formula>
    </cfRule>
  </conditionalFormatting>
  <conditionalFormatting sqref="N32:AH32">
    <cfRule type="cellIs" dxfId="427" priority="1" operator="equal">
      <formula>3</formula>
    </cfRule>
    <cfRule type="cellIs" dxfId="426" priority="2" operator="equal">
      <formula>2</formula>
    </cfRule>
    <cfRule type="cellIs" dxfId="425" priority="3" operator="equal">
      <formula>1</formula>
    </cfRule>
  </conditionalFormatting>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G33"/>
  <sheetViews>
    <sheetView showGridLines="0" zoomScaleNormal="100" workbookViewId="0">
      <selection activeCell="K10" sqref="K10"/>
    </sheetView>
  </sheetViews>
  <sheetFormatPr defaultColWidth="9.140625" defaultRowHeight="12.75" x14ac:dyDescent="0.2"/>
  <cols>
    <col min="1" max="1" width="8.42578125" customWidth="1"/>
    <col min="2" max="2" width="6.140625" hidden="1" customWidth="1"/>
    <col min="3" max="3" width="7.7109375" hidden="1" customWidth="1"/>
    <col min="4" max="4" width="9.28515625" hidden="1" customWidth="1"/>
    <col min="5" max="5" width="10" hidden="1" customWidth="1"/>
    <col min="6" max="6" width="7.140625" customWidth="1"/>
    <col min="7" max="9" width="8.85546875" customWidth="1"/>
    <col min="10" max="10" width="8.85546875" hidden="1" customWidth="1"/>
    <col min="11" max="13" width="5.7109375" customWidth="1"/>
    <col min="14" max="33" width="4.7109375" customWidth="1"/>
  </cols>
  <sheetData>
    <row r="1" spans="2:33"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3" s="29" customFormat="1" ht="22.5" x14ac:dyDescent="0.45">
      <c r="F2" s="133" t="s">
        <v>2</v>
      </c>
      <c r="G2" s="134"/>
      <c r="H2" s="47">
        <v>1</v>
      </c>
      <c r="I2" s="135" t="str">
        <f>+Names!$C$1</f>
        <v>Driver</v>
      </c>
      <c r="J2" s="136"/>
      <c r="K2" s="136"/>
      <c r="L2" s="137"/>
      <c r="M2" s="130" t="s">
        <v>8</v>
      </c>
      <c r="N2" s="130"/>
      <c r="R2" s="138" t="s">
        <v>12</v>
      </c>
      <c r="S2" s="139"/>
      <c r="T2" s="139"/>
      <c r="U2" s="140"/>
    </row>
    <row r="3" spans="2:33"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3"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3"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3" s="29" customFormat="1" ht="18.75" hidden="1" x14ac:dyDescent="0.3">
      <c r="E6" s="17"/>
      <c r="F6" s="55"/>
      <c r="G6" s="56"/>
      <c r="H6" s="3"/>
      <c r="I6" s="84"/>
      <c r="J6" s="85"/>
      <c r="K6" s="85"/>
      <c r="L6" s="86"/>
      <c r="M6" s="130"/>
      <c r="N6" s="130"/>
      <c r="R6"/>
      <c r="S6" s="26"/>
      <c r="T6" s="26"/>
      <c r="U6" s="26"/>
    </row>
    <row r="7" spans="2:33" ht="13.5" thickBot="1" x14ac:dyDescent="0.25">
      <c r="E7" s="28"/>
    </row>
    <row r="8" spans="2:33" s="30" customFormat="1" ht="16.5" thickBot="1" x14ac:dyDescent="0.25">
      <c r="G8" s="144" t="s">
        <v>3</v>
      </c>
      <c r="H8" s="145"/>
      <c r="I8" s="146"/>
      <c r="J8" s="87"/>
      <c r="K8" s="147" t="s">
        <v>34</v>
      </c>
      <c r="L8" s="147"/>
      <c r="M8" s="148"/>
      <c r="N8" s="149" t="s">
        <v>13</v>
      </c>
      <c r="O8" s="150"/>
      <c r="P8" s="150"/>
      <c r="Q8" s="150"/>
      <c r="R8" s="150"/>
      <c r="S8" s="150"/>
      <c r="T8" s="150"/>
      <c r="U8" s="150"/>
      <c r="V8" s="150"/>
      <c r="W8" s="150"/>
      <c r="X8" s="150"/>
      <c r="Y8" s="150"/>
      <c r="Z8" s="150"/>
      <c r="AA8" s="150"/>
      <c r="AB8" s="150"/>
      <c r="AC8" s="150"/>
      <c r="AD8" s="150"/>
      <c r="AE8" s="150"/>
      <c r="AF8" s="150"/>
      <c r="AG8" s="150"/>
    </row>
    <row r="9" spans="2:33"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c r="AG9" s="58">
        <f>+Names!$A$21</f>
        <v>0</v>
      </c>
    </row>
    <row r="10" spans="2:33" s="30" customFormat="1" ht="15.75" x14ac:dyDescent="0.25">
      <c r="B10" s="36">
        <v>1</v>
      </c>
      <c r="C10" s="36">
        <v>3</v>
      </c>
      <c r="D10" s="36">
        <v>6</v>
      </c>
      <c r="E10" s="36"/>
      <c r="F10" s="11">
        <v>1</v>
      </c>
      <c r="G10" s="37">
        <f ca="1">INDIRECT(ADDRESS(B10+1,1,,,"Names"))</f>
        <v>1</v>
      </c>
      <c r="H10" s="18">
        <f t="shared" ref="H10:I16"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29"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52" t="str">
        <f t="shared" si="1"/>
        <v/>
      </c>
      <c r="AC10" s="52" t="str">
        <f t="shared" si="1"/>
        <v/>
      </c>
      <c r="AD10" s="52" t="str">
        <f t="shared" si="1"/>
        <v/>
      </c>
      <c r="AE10" s="52" t="str">
        <f t="shared" ref="AB10:AG25" si="2">IF(ISNA(MATCH(COLUMN()-13,$B10:$E10,0)),"",IF($K10=MATCH(COLUMN()-13,$B10:$E10,0),3,IF($L10=MATCH(COLUMN()-13,$B10:$E10,0),2,IF($M10=MATCH(COLUMN()-13,$B10:$E10,0),1," "))))</f>
        <v/>
      </c>
      <c r="AF10" s="52" t="str">
        <f t="shared" si="2"/>
        <v/>
      </c>
      <c r="AG10" s="53" t="str">
        <f t="shared" si="2"/>
        <v/>
      </c>
    </row>
    <row r="11" spans="2:33" s="30" customFormat="1" ht="15.75" x14ac:dyDescent="0.25">
      <c r="B11" s="36">
        <v>2</v>
      </c>
      <c r="C11" s="36">
        <v>4</v>
      </c>
      <c r="D11" s="36">
        <v>7</v>
      </c>
      <c r="E11" s="36"/>
      <c r="F11" s="12">
        <v>2</v>
      </c>
      <c r="G11" s="4">
        <f t="shared" ref="G11:G16" ca="1" si="3">INDIRECT(ADDRESS(B11+1,1,,,"Names"))</f>
        <v>2</v>
      </c>
      <c r="H11" s="19">
        <f t="shared" ca="1" si="0"/>
        <v>4</v>
      </c>
      <c r="I11" s="69">
        <f t="shared" ca="1" si="0"/>
        <v>7</v>
      </c>
      <c r="J11" s="92"/>
      <c r="K11" s="97"/>
      <c r="L11" s="76"/>
      <c r="M11" s="98"/>
      <c r="N11" s="32" t="str">
        <f t="shared" ref="N11:N29"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15" t="str">
        <f t="shared" si="2"/>
        <v/>
      </c>
      <c r="AF11" s="15" t="str">
        <f t="shared" si="2"/>
        <v/>
      </c>
      <c r="AG11" s="5" t="str">
        <f t="shared" si="2"/>
        <v/>
      </c>
    </row>
    <row r="12" spans="2:33"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15" t="str">
        <f t="shared" si="1"/>
        <v/>
      </c>
      <c r="AE12" s="15" t="str">
        <f t="shared" si="2"/>
        <v/>
      </c>
      <c r="AF12" s="15" t="str">
        <f t="shared" si="2"/>
        <v/>
      </c>
      <c r="AG12" s="5" t="str">
        <f t="shared" si="2"/>
        <v/>
      </c>
    </row>
    <row r="13" spans="2:33"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15" t="str">
        <f t="shared" si="1"/>
        <v/>
      </c>
      <c r="AE13" s="15" t="str">
        <f t="shared" si="2"/>
        <v/>
      </c>
      <c r="AF13" s="15" t="str">
        <f t="shared" si="2"/>
        <v/>
      </c>
      <c r="AG13" s="5" t="str">
        <f t="shared" si="2"/>
        <v/>
      </c>
    </row>
    <row r="14" spans="2:33"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2"/>
        <v/>
      </c>
      <c r="AC14" s="15" t="str">
        <f t="shared" si="2"/>
        <v/>
      </c>
      <c r="AD14" s="15" t="str">
        <f t="shared" si="2"/>
        <v/>
      </c>
      <c r="AE14" s="15" t="str">
        <f t="shared" si="2"/>
        <v/>
      </c>
      <c r="AF14" s="15" t="str">
        <f t="shared" si="2"/>
        <v/>
      </c>
      <c r="AG14" s="5" t="str">
        <f t="shared" si="2"/>
        <v/>
      </c>
    </row>
    <row r="15" spans="2:33"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2"/>
        <v/>
      </c>
      <c r="AC15" s="15" t="str">
        <f t="shared" si="2"/>
        <v/>
      </c>
      <c r="AD15" s="15" t="str">
        <f t="shared" si="2"/>
        <v/>
      </c>
      <c r="AE15" s="15" t="str">
        <f t="shared" si="2"/>
        <v/>
      </c>
      <c r="AF15" s="15" t="str">
        <f t="shared" si="2"/>
        <v/>
      </c>
      <c r="AG15" s="5" t="str">
        <f t="shared" si="2"/>
        <v/>
      </c>
    </row>
    <row r="16" spans="2:33"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1"/>
        <v/>
      </c>
      <c r="P16" s="15" t="str">
        <f t="shared" si="1"/>
        <v/>
      </c>
      <c r="Q16" s="15" t="str">
        <f t="shared" si="1"/>
        <v/>
      </c>
      <c r="R16" s="15" t="str">
        <f t="shared" si="1"/>
        <v/>
      </c>
      <c r="S16" s="15" t="str">
        <f t="shared" si="1"/>
        <v/>
      </c>
      <c r="T16" s="15" t="str">
        <f t="shared" si="1"/>
        <v xml:space="preserve"> </v>
      </c>
      <c r="U16" s="15" t="str">
        <f t="shared" si="1"/>
        <v/>
      </c>
      <c r="V16" s="15" t="str">
        <f t="shared" si="1"/>
        <v xml:space="preserve"> </v>
      </c>
      <c r="W16" s="15" t="str">
        <f t="shared" si="1"/>
        <v/>
      </c>
      <c r="X16" s="15" t="str">
        <f t="shared" si="1"/>
        <v/>
      </c>
      <c r="Y16" s="15" t="str">
        <f t="shared" si="1"/>
        <v xml:space="preserve"> </v>
      </c>
      <c r="Z16" s="15" t="str">
        <f t="shared" si="1"/>
        <v/>
      </c>
      <c r="AA16" s="15" t="str">
        <f t="shared" si="1"/>
        <v/>
      </c>
      <c r="AB16" s="15" t="str">
        <f t="shared" si="2"/>
        <v/>
      </c>
      <c r="AC16" s="15" t="str">
        <f t="shared" si="2"/>
        <v/>
      </c>
      <c r="AD16" s="15" t="str">
        <f t="shared" si="2"/>
        <v/>
      </c>
      <c r="AE16" s="15" t="str">
        <f t="shared" si="2"/>
        <v/>
      </c>
      <c r="AF16" s="15" t="str">
        <f t="shared" si="2"/>
        <v/>
      </c>
      <c r="AG16" s="5" t="str">
        <f t="shared" si="2"/>
        <v/>
      </c>
    </row>
    <row r="17" spans="2:33" s="30" customFormat="1" ht="15.75" x14ac:dyDescent="0.25">
      <c r="B17" s="36">
        <v>8</v>
      </c>
      <c r="C17" s="36">
        <v>10</v>
      </c>
      <c r="D17" s="36">
        <v>13</v>
      </c>
      <c r="E17" s="36"/>
      <c r="F17" s="12">
        <v>8</v>
      </c>
      <c r="G17" s="4">
        <f t="shared" ref="G17:G29" ca="1" si="5">INDIRECT(ADDRESS(B17+1,1,,,"Names"))</f>
        <v>8</v>
      </c>
      <c r="H17" s="19">
        <f t="shared" ref="H17:H29" ca="1" si="6">INDIRECT(ADDRESS(C17+1,1,,,"Names"))</f>
        <v>13</v>
      </c>
      <c r="I17" s="69">
        <f t="shared" ref="I17:I29" ca="1" si="7">INDIRECT(ADDRESS(D17+1,1,,,"Names"))</f>
        <v>30</v>
      </c>
      <c r="J17" s="92"/>
      <c r="K17" s="97"/>
      <c r="L17" s="76"/>
      <c r="M17" s="98"/>
      <c r="N17" s="32" t="str">
        <f t="shared" si="4"/>
        <v/>
      </c>
      <c r="O17" s="15" t="str">
        <f t="shared" si="1"/>
        <v/>
      </c>
      <c r="P17" s="15" t="str">
        <f t="shared" si="1"/>
        <v/>
      </c>
      <c r="Q17" s="15" t="str">
        <f t="shared" si="1"/>
        <v/>
      </c>
      <c r="R17" s="15" t="str">
        <f t="shared" si="1"/>
        <v/>
      </c>
      <c r="S17" s="15" t="str">
        <f t="shared" si="1"/>
        <v/>
      </c>
      <c r="T17" s="15" t="str">
        <f t="shared" si="1"/>
        <v/>
      </c>
      <c r="U17" s="15" t="str">
        <f t="shared" si="1"/>
        <v xml:space="preserve"> </v>
      </c>
      <c r="V17" s="15" t="str">
        <f t="shared" si="1"/>
        <v/>
      </c>
      <c r="W17" s="15" t="str">
        <f t="shared" si="1"/>
        <v xml:space="preserve"> </v>
      </c>
      <c r="X17" s="15" t="str">
        <f t="shared" si="1"/>
        <v/>
      </c>
      <c r="Y17" s="15" t="str">
        <f t="shared" si="1"/>
        <v/>
      </c>
      <c r="Z17" s="15" t="str">
        <f t="shared" si="1"/>
        <v xml:space="preserve"> </v>
      </c>
      <c r="AA17" s="15" t="str">
        <f t="shared" si="1"/>
        <v/>
      </c>
      <c r="AB17" s="15" t="str">
        <f t="shared" si="2"/>
        <v/>
      </c>
      <c r="AC17" s="15" t="str">
        <f t="shared" si="2"/>
        <v/>
      </c>
      <c r="AD17" s="15" t="str">
        <f t="shared" si="2"/>
        <v/>
      </c>
      <c r="AE17" s="15" t="str">
        <f t="shared" si="2"/>
        <v/>
      </c>
      <c r="AF17" s="15" t="str">
        <f t="shared" si="2"/>
        <v/>
      </c>
      <c r="AG17" s="5" t="str">
        <f t="shared" si="2"/>
        <v/>
      </c>
    </row>
    <row r="18" spans="2:33" s="30" customFormat="1" ht="15.75" x14ac:dyDescent="0.25">
      <c r="B18" s="36">
        <v>9</v>
      </c>
      <c r="C18" s="36">
        <v>11</v>
      </c>
      <c r="D18" s="36">
        <v>14</v>
      </c>
      <c r="E18" s="36"/>
      <c r="F18" s="12">
        <v>9</v>
      </c>
      <c r="G18" s="4">
        <f t="shared" ca="1" si="5"/>
        <v>9</v>
      </c>
      <c r="H18" s="19">
        <f t="shared" ca="1" si="6"/>
        <v>14</v>
      </c>
      <c r="I18" s="69">
        <f t="shared" ca="1" si="7"/>
        <v>37</v>
      </c>
      <c r="J18" s="92"/>
      <c r="K18" s="97"/>
      <c r="L18" s="76"/>
      <c r="M18" s="98"/>
      <c r="N18" s="32" t="str">
        <f t="shared" si="4"/>
        <v/>
      </c>
      <c r="O18" s="15" t="str">
        <f t="shared" si="1"/>
        <v/>
      </c>
      <c r="P18" s="15" t="str">
        <f t="shared" si="1"/>
        <v/>
      </c>
      <c r="Q18" s="15" t="str">
        <f t="shared" si="1"/>
        <v/>
      </c>
      <c r="R18" s="15" t="str">
        <f t="shared" si="1"/>
        <v/>
      </c>
      <c r="S18" s="15" t="str">
        <f t="shared" si="1"/>
        <v/>
      </c>
      <c r="T18" s="15" t="str">
        <f t="shared" si="1"/>
        <v/>
      </c>
      <c r="U18" s="15" t="str">
        <f t="shared" si="1"/>
        <v/>
      </c>
      <c r="V18" s="15" t="str">
        <f t="shared" si="1"/>
        <v xml:space="preserve"> </v>
      </c>
      <c r="W18" s="15" t="str">
        <f t="shared" si="1"/>
        <v/>
      </c>
      <c r="X18" s="15" t="str">
        <f t="shared" si="1"/>
        <v xml:space="preserve"> </v>
      </c>
      <c r="Y18" s="15" t="str">
        <f t="shared" si="1"/>
        <v/>
      </c>
      <c r="Z18" s="15" t="str">
        <f t="shared" si="1"/>
        <v/>
      </c>
      <c r="AA18" s="15" t="str">
        <f t="shared" si="1"/>
        <v xml:space="preserve"> </v>
      </c>
      <c r="AB18" s="15" t="str">
        <f t="shared" si="2"/>
        <v/>
      </c>
      <c r="AC18" s="15" t="str">
        <f t="shared" si="2"/>
        <v/>
      </c>
      <c r="AD18" s="15" t="str">
        <f t="shared" si="2"/>
        <v/>
      </c>
      <c r="AE18" s="15" t="str">
        <f t="shared" si="2"/>
        <v/>
      </c>
      <c r="AF18" s="15" t="str">
        <f t="shared" si="2"/>
        <v/>
      </c>
      <c r="AG18" s="5" t="str">
        <f t="shared" si="2"/>
        <v/>
      </c>
    </row>
    <row r="19" spans="2:33" s="30" customFormat="1" ht="15.75" x14ac:dyDescent="0.25">
      <c r="B19" s="36">
        <v>10</v>
      </c>
      <c r="C19" s="36">
        <v>12</v>
      </c>
      <c r="D19" s="36">
        <v>15</v>
      </c>
      <c r="E19" s="36"/>
      <c r="F19" s="12">
        <v>10</v>
      </c>
      <c r="G19" s="4">
        <f t="shared" ca="1" si="5"/>
        <v>13</v>
      </c>
      <c r="H19" s="19">
        <f t="shared" ca="1" si="6"/>
        <v>23</v>
      </c>
      <c r="I19" s="69">
        <f t="shared" ca="1" si="7"/>
        <v>49</v>
      </c>
      <c r="J19" s="92"/>
      <c r="K19" s="97"/>
      <c r="L19" s="76"/>
      <c r="M19" s="98"/>
      <c r="N19" s="32" t="str">
        <f t="shared" si="4"/>
        <v/>
      </c>
      <c r="O19" s="15" t="str">
        <f t="shared" si="1"/>
        <v/>
      </c>
      <c r="P19" s="15" t="str">
        <f t="shared" si="1"/>
        <v/>
      </c>
      <c r="Q19" s="15" t="str">
        <f t="shared" si="1"/>
        <v/>
      </c>
      <c r="R19" s="15" t="str">
        <f t="shared" si="1"/>
        <v/>
      </c>
      <c r="S19" s="15" t="str">
        <f t="shared" si="1"/>
        <v/>
      </c>
      <c r="T19" s="15" t="str">
        <f t="shared" si="1"/>
        <v/>
      </c>
      <c r="U19" s="15" t="str">
        <f t="shared" si="1"/>
        <v/>
      </c>
      <c r="V19" s="15" t="str">
        <f t="shared" si="1"/>
        <v/>
      </c>
      <c r="W19" s="15" t="str">
        <f t="shared" si="1"/>
        <v xml:space="preserve"> </v>
      </c>
      <c r="X19" s="15" t="str">
        <f t="shared" si="1"/>
        <v/>
      </c>
      <c r="Y19" s="15" t="str">
        <f t="shared" si="1"/>
        <v xml:space="preserve"> </v>
      </c>
      <c r="Z19" s="15" t="str">
        <f t="shared" si="1"/>
        <v/>
      </c>
      <c r="AA19" s="15" t="str">
        <f t="shared" si="1"/>
        <v/>
      </c>
      <c r="AB19" s="15" t="str">
        <f t="shared" si="2"/>
        <v xml:space="preserve"> </v>
      </c>
      <c r="AC19" s="15" t="str">
        <f t="shared" si="2"/>
        <v/>
      </c>
      <c r="AD19" s="15" t="str">
        <f t="shared" si="2"/>
        <v/>
      </c>
      <c r="AE19" s="15" t="str">
        <f t="shared" si="2"/>
        <v/>
      </c>
      <c r="AF19" s="15" t="str">
        <f t="shared" si="2"/>
        <v/>
      </c>
      <c r="AG19" s="5" t="str">
        <f t="shared" si="2"/>
        <v/>
      </c>
    </row>
    <row r="20" spans="2:33" s="30" customFormat="1" ht="15.75" x14ac:dyDescent="0.25">
      <c r="B20" s="36">
        <v>11</v>
      </c>
      <c r="C20" s="36">
        <v>13</v>
      </c>
      <c r="D20" s="36">
        <v>16</v>
      </c>
      <c r="E20" s="36"/>
      <c r="F20" s="12">
        <v>11</v>
      </c>
      <c r="G20" s="4">
        <f t="shared" ca="1" si="5"/>
        <v>14</v>
      </c>
      <c r="H20" s="19">
        <f t="shared" ca="1" si="6"/>
        <v>30</v>
      </c>
      <c r="I20" s="69">
        <f t="shared" ca="1" si="7"/>
        <v>99</v>
      </c>
      <c r="J20" s="92"/>
      <c r="K20" s="97"/>
      <c r="L20" s="76"/>
      <c r="M20" s="98"/>
      <c r="N20" s="32" t="str">
        <f t="shared" si="4"/>
        <v/>
      </c>
      <c r="O20" s="15" t="str">
        <f t="shared" si="1"/>
        <v/>
      </c>
      <c r="P20" s="15" t="str">
        <f t="shared" si="1"/>
        <v/>
      </c>
      <c r="Q20" s="15" t="str">
        <f t="shared" si="1"/>
        <v/>
      </c>
      <c r="R20" s="15" t="str">
        <f t="shared" si="1"/>
        <v/>
      </c>
      <c r="S20" s="15" t="str">
        <f t="shared" ref="O20:AD28" si="8">IF(ISNA(MATCH(COLUMN()-13,$B20:$E20,0)),"",IF($K20=MATCH(COLUMN()-13,$B20:$E20,0),3,IF($L20=MATCH(COLUMN()-13,$B20:$E20,0),2,IF($M20=MATCH(COLUMN()-13,$B20:$E20,0),1," "))))</f>
        <v/>
      </c>
      <c r="T20" s="15" t="str">
        <f t="shared" si="8"/>
        <v/>
      </c>
      <c r="U20" s="15" t="str">
        <f t="shared" si="8"/>
        <v/>
      </c>
      <c r="V20" s="15" t="str">
        <f t="shared" si="8"/>
        <v/>
      </c>
      <c r="W20" s="15" t="str">
        <f t="shared" si="8"/>
        <v/>
      </c>
      <c r="X20" s="15" t="str">
        <f t="shared" si="8"/>
        <v xml:space="preserve"> </v>
      </c>
      <c r="Y20" s="15" t="str">
        <f t="shared" si="8"/>
        <v/>
      </c>
      <c r="Z20" s="15" t="str">
        <f t="shared" si="8"/>
        <v xml:space="preserve"> </v>
      </c>
      <c r="AA20" s="15" t="str">
        <f t="shared" si="8"/>
        <v/>
      </c>
      <c r="AB20" s="15" t="str">
        <f t="shared" si="2"/>
        <v/>
      </c>
      <c r="AC20" s="15" t="str">
        <f t="shared" si="2"/>
        <v xml:space="preserve"> </v>
      </c>
      <c r="AD20" s="15" t="str">
        <f t="shared" si="2"/>
        <v/>
      </c>
      <c r="AE20" s="15" t="str">
        <f t="shared" si="2"/>
        <v/>
      </c>
      <c r="AF20" s="15" t="str">
        <f t="shared" si="2"/>
        <v/>
      </c>
      <c r="AG20" s="5" t="str">
        <f t="shared" si="2"/>
        <v/>
      </c>
    </row>
    <row r="21" spans="2:33" s="30" customFormat="1" ht="15.75" x14ac:dyDescent="0.25">
      <c r="B21" s="36">
        <v>12</v>
      </c>
      <c r="C21" s="36">
        <v>14</v>
      </c>
      <c r="D21" s="36">
        <v>17</v>
      </c>
      <c r="E21" s="36"/>
      <c r="F21" s="12">
        <v>12</v>
      </c>
      <c r="G21" s="4">
        <f t="shared" ca="1" si="5"/>
        <v>23</v>
      </c>
      <c r="H21" s="19">
        <f t="shared" ca="1" si="6"/>
        <v>37</v>
      </c>
      <c r="I21" s="69">
        <f t="shared" ca="1" si="7"/>
        <v>0</v>
      </c>
      <c r="J21" s="92"/>
      <c r="K21" s="97"/>
      <c r="L21" s="76"/>
      <c r="M21" s="98"/>
      <c r="N21" s="32" t="str">
        <f t="shared" si="4"/>
        <v/>
      </c>
      <c r="O21" s="15" t="str">
        <f t="shared" si="8"/>
        <v/>
      </c>
      <c r="P21" s="15" t="str">
        <f t="shared" si="8"/>
        <v/>
      </c>
      <c r="Q21" s="15" t="str">
        <f t="shared" si="8"/>
        <v/>
      </c>
      <c r="R21" s="15" t="str">
        <f t="shared" si="8"/>
        <v/>
      </c>
      <c r="S21" s="15" t="str">
        <f t="shared" si="8"/>
        <v/>
      </c>
      <c r="T21" s="15" t="str">
        <f t="shared" si="8"/>
        <v/>
      </c>
      <c r="U21" s="15" t="str">
        <f t="shared" si="8"/>
        <v/>
      </c>
      <c r="V21" s="15" t="str">
        <f t="shared" si="8"/>
        <v/>
      </c>
      <c r="W21" s="15" t="str">
        <f t="shared" si="8"/>
        <v/>
      </c>
      <c r="X21" s="15" t="str">
        <f t="shared" si="8"/>
        <v/>
      </c>
      <c r="Y21" s="15" t="str">
        <f t="shared" si="8"/>
        <v xml:space="preserve"> </v>
      </c>
      <c r="Z21" s="15" t="str">
        <f t="shared" si="8"/>
        <v/>
      </c>
      <c r="AA21" s="15" t="str">
        <f t="shared" si="8"/>
        <v xml:space="preserve"> </v>
      </c>
      <c r="AB21" s="15" t="str">
        <f t="shared" si="2"/>
        <v/>
      </c>
      <c r="AC21" s="15" t="str">
        <f t="shared" si="2"/>
        <v/>
      </c>
      <c r="AD21" s="15" t="str">
        <f t="shared" si="2"/>
        <v xml:space="preserve"> </v>
      </c>
      <c r="AE21" s="15" t="str">
        <f t="shared" si="2"/>
        <v/>
      </c>
      <c r="AF21" s="15" t="str">
        <f t="shared" si="2"/>
        <v/>
      </c>
      <c r="AG21" s="5" t="str">
        <f t="shared" si="2"/>
        <v/>
      </c>
    </row>
    <row r="22" spans="2:33" s="30" customFormat="1" ht="15.75" x14ac:dyDescent="0.25">
      <c r="B22" s="36">
        <v>13</v>
      </c>
      <c r="C22" s="36">
        <v>15</v>
      </c>
      <c r="D22" s="36">
        <v>18</v>
      </c>
      <c r="E22" s="36"/>
      <c r="F22" s="12">
        <v>13</v>
      </c>
      <c r="G22" s="4">
        <f t="shared" ca="1" si="5"/>
        <v>30</v>
      </c>
      <c r="H22" s="19">
        <f t="shared" ca="1" si="6"/>
        <v>49</v>
      </c>
      <c r="I22" s="69">
        <f t="shared" ca="1" si="7"/>
        <v>0</v>
      </c>
      <c r="J22" s="92"/>
      <c r="K22" s="97"/>
      <c r="L22" s="76"/>
      <c r="M22" s="98"/>
      <c r="N22" s="32" t="str">
        <f t="shared" si="4"/>
        <v/>
      </c>
      <c r="O22" s="15" t="str">
        <f t="shared" si="8"/>
        <v/>
      </c>
      <c r="P22" s="15" t="str">
        <f t="shared" si="8"/>
        <v/>
      </c>
      <c r="Q22" s="15" t="str">
        <f t="shared" si="8"/>
        <v/>
      </c>
      <c r="R22" s="15" t="str">
        <f t="shared" si="8"/>
        <v/>
      </c>
      <c r="S22" s="15" t="str">
        <f t="shared" si="8"/>
        <v/>
      </c>
      <c r="T22" s="15" t="str">
        <f t="shared" si="8"/>
        <v/>
      </c>
      <c r="U22" s="15" t="str">
        <f t="shared" si="8"/>
        <v/>
      </c>
      <c r="V22" s="15" t="str">
        <f t="shared" si="8"/>
        <v/>
      </c>
      <c r="W22" s="15" t="str">
        <f t="shared" si="8"/>
        <v/>
      </c>
      <c r="X22" s="15" t="str">
        <f t="shared" si="8"/>
        <v/>
      </c>
      <c r="Y22" s="15" t="str">
        <f t="shared" si="8"/>
        <v/>
      </c>
      <c r="Z22" s="15" t="str">
        <f t="shared" si="8"/>
        <v xml:space="preserve"> </v>
      </c>
      <c r="AA22" s="15" t="str">
        <f t="shared" si="8"/>
        <v/>
      </c>
      <c r="AB22" s="15" t="str">
        <f t="shared" si="2"/>
        <v xml:space="preserve"> </v>
      </c>
      <c r="AC22" s="15" t="str">
        <f t="shared" si="2"/>
        <v/>
      </c>
      <c r="AD22" s="15" t="str">
        <f t="shared" si="2"/>
        <v/>
      </c>
      <c r="AE22" s="15" t="str">
        <f t="shared" si="2"/>
        <v xml:space="preserve"> </v>
      </c>
      <c r="AF22" s="15" t="str">
        <f t="shared" si="2"/>
        <v/>
      </c>
      <c r="AG22" s="5" t="str">
        <f t="shared" si="2"/>
        <v/>
      </c>
    </row>
    <row r="23" spans="2:33" s="30" customFormat="1" ht="15.75" x14ac:dyDescent="0.25">
      <c r="B23" s="36">
        <v>14</v>
      </c>
      <c r="C23" s="36">
        <v>16</v>
      </c>
      <c r="D23" s="36">
        <v>19</v>
      </c>
      <c r="E23" s="36"/>
      <c r="F23" s="12">
        <v>14</v>
      </c>
      <c r="G23" s="4">
        <f t="shared" ca="1" si="5"/>
        <v>37</v>
      </c>
      <c r="H23" s="19">
        <f t="shared" ca="1" si="6"/>
        <v>99</v>
      </c>
      <c r="I23" s="69">
        <f t="shared" ca="1" si="7"/>
        <v>0</v>
      </c>
      <c r="J23" s="92"/>
      <c r="K23" s="97"/>
      <c r="L23" s="76"/>
      <c r="M23" s="98"/>
      <c r="N23" s="32" t="str">
        <f t="shared" si="4"/>
        <v/>
      </c>
      <c r="O23" s="15" t="str">
        <f t="shared" si="8"/>
        <v/>
      </c>
      <c r="P23" s="15" t="str">
        <f t="shared" si="8"/>
        <v/>
      </c>
      <c r="Q23" s="15" t="str">
        <f t="shared" si="8"/>
        <v/>
      </c>
      <c r="R23" s="15" t="str">
        <f t="shared" si="8"/>
        <v/>
      </c>
      <c r="S23" s="15" t="str">
        <f t="shared" si="8"/>
        <v/>
      </c>
      <c r="T23" s="15" t="str">
        <f t="shared" si="8"/>
        <v/>
      </c>
      <c r="U23" s="15" t="str">
        <f t="shared" si="8"/>
        <v/>
      </c>
      <c r="V23" s="15" t="str">
        <f t="shared" si="8"/>
        <v/>
      </c>
      <c r="W23" s="15" t="str">
        <f t="shared" si="8"/>
        <v/>
      </c>
      <c r="X23" s="15" t="str">
        <f t="shared" si="8"/>
        <v/>
      </c>
      <c r="Y23" s="15" t="str">
        <f t="shared" si="8"/>
        <v/>
      </c>
      <c r="Z23" s="15" t="str">
        <f t="shared" si="8"/>
        <v/>
      </c>
      <c r="AA23" s="15" t="str">
        <f t="shared" si="8"/>
        <v xml:space="preserve"> </v>
      </c>
      <c r="AB23" s="15" t="str">
        <f t="shared" si="2"/>
        <v/>
      </c>
      <c r="AC23" s="15" t="str">
        <f t="shared" si="2"/>
        <v xml:space="preserve"> </v>
      </c>
      <c r="AD23" s="15" t="str">
        <f t="shared" si="2"/>
        <v/>
      </c>
      <c r="AE23" s="15" t="str">
        <f t="shared" si="2"/>
        <v/>
      </c>
      <c r="AF23" s="15" t="str">
        <f t="shared" si="2"/>
        <v xml:space="preserve"> </v>
      </c>
      <c r="AG23" s="5" t="str">
        <f t="shared" si="2"/>
        <v/>
      </c>
    </row>
    <row r="24" spans="2:33" s="30" customFormat="1" ht="15.75" x14ac:dyDescent="0.25">
      <c r="B24" s="36">
        <v>15</v>
      </c>
      <c r="C24" s="36">
        <v>17</v>
      </c>
      <c r="D24" s="36">
        <v>20</v>
      </c>
      <c r="E24" s="36"/>
      <c r="F24" s="12">
        <v>15</v>
      </c>
      <c r="G24" s="4">
        <f t="shared" ca="1" si="5"/>
        <v>49</v>
      </c>
      <c r="H24" s="19">
        <f t="shared" ca="1" si="6"/>
        <v>0</v>
      </c>
      <c r="I24" s="69">
        <f t="shared" ca="1" si="7"/>
        <v>0</v>
      </c>
      <c r="J24" s="92"/>
      <c r="K24" s="97"/>
      <c r="L24" s="76"/>
      <c r="M24" s="98"/>
      <c r="N24" s="32" t="str">
        <f t="shared" si="4"/>
        <v/>
      </c>
      <c r="O24" s="15" t="str">
        <f t="shared" si="8"/>
        <v/>
      </c>
      <c r="P24" s="15" t="str">
        <f t="shared" si="8"/>
        <v/>
      </c>
      <c r="Q24" s="15" t="str">
        <f t="shared" si="8"/>
        <v/>
      </c>
      <c r="R24" s="15" t="str">
        <f t="shared" si="8"/>
        <v/>
      </c>
      <c r="S24" s="15" t="str">
        <f t="shared" si="8"/>
        <v/>
      </c>
      <c r="T24" s="15" t="str">
        <f t="shared" si="8"/>
        <v/>
      </c>
      <c r="U24" s="15" t="str">
        <f t="shared" si="8"/>
        <v/>
      </c>
      <c r="V24" s="15" t="str">
        <f t="shared" si="8"/>
        <v/>
      </c>
      <c r="W24" s="15" t="str">
        <f t="shared" si="8"/>
        <v/>
      </c>
      <c r="X24" s="15" t="str">
        <f t="shared" si="8"/>
        <v/>
      </c>
      <c r="Y24" s="15" t="str">
        <f t="shared" si="8"/>
        <v/>
      </c>
      <c r="Z24" s="15" t="str">
        <f t="shared" si="8"/>
        <v/>
      </c>
      <c r="AA24" s="15" t="str">
        <f t="shared" si="8"/>
        <v/>
      </c>
      <c r="AB24" s="15" t="str">
        <f t="shared" si="2"/>
        <v xml:space="preserve"> </v>
      </c>
      <c r="AC24" s="15" t="str">
        <f t="shared" si="2"/>
        <v/>
      </c>
      <c r="AD24" s="15" t="str">
        <f t="shared" si="2"/>
        <v xml:space="preserve"> </v>
      </c>
      <c r="AE24" s="15" t="str">
        <f t="shared" si="2"/>
        <v/>
      </c>
      <c r="AF24" s="15" t="str">
        <f t="shared" si="2"/>
        <v/>
      </c>
      <c r="AG24" s="5" t="str">
        <f t="shared" si="2"/>
        <v xml:space="preserve"> </v>
      </c>
    </row>
    <row r="25" spans="2:33" s="30" customFormat="1" ht="15.75" x14ac:dyDescent="0.25">
      <c r="B25" s="36">
        <v>16</v>
      </c>
      <c r="C25" s="36">
        <v>18</v>
      </c>
      <c r="D25" s="36">
        <v>1</v>
      </c>
      <c r="E25" s="36"/>
      <c r="F25" s="12">
        <v>16</v>
      </c>
      <c r="G25" s="4">
        <f t="shared" ca="1" si="5"/>
        <v>99</v>
      </c>
      <c r="H25" s="19">
        <f t="shared" ca="1" si="6"/>
        <v>0</v>
      </c>
      <c r="I25" s="69">
        <f t="shared" ca="1" si="7"/>
        <v>1</v>
      </c>
      <c r="J25" s="92"/>
      <c r="K25" s="97"/>
      <c r="L25" s="76"/>
      <c r="M25" s="98"/>
      <c r="N25" s="32" t="str">
        <f t="shared" si="4"/>
        <v xml:space="preserve"> </v>
      </c>
      <c r="O25" s="15" t="str">
        <f t="shared" si="8"/>
        <v/>
      </c>
      <c r="P25" s="15" t="str">
        <f t="shared" si="8"/>
        <v/>
      </c>
      <c r="Q25" s="15" t="str">
        <f t="shared" si="8"/>
        <v/>
      </c>
      <c r="R25" s="15" t="str">
        <f t="shared" si="8"/>
        <v/>
      </c>
      <c r="S25" s="15" t="str">
        <f t="shared" si="8"/>
        <v/>
      </c>
      <c r="T25" s="15" t="str">
        <f t="shared" si="8"/>
        <v/>
      </c>
      <c r="U25" s="15" t="str">
        <f t="shared" si="8"/>
        <v/>
      </c>
      <c r="V25" s="15" t="str">
        <f t="shared" si="8"/>
        <v/>
      </c>
      <c r="W25" s="15" t="str">
        <f t="shared" si="8"/>
        <v/>
      </c>
      <c r="X25" s="15" t="str">
        <f t="shared" si="8"/>
        <v/>
      </c>
      <c r="Y25" s="15" t="str">
        <f t="shared" si="8"/>
        <v/>
      </c>
      <c r="Z25" s="15" t="str">
        <f t="shared" si="8"/>
        <v/>
      </c>
      <c r="AA25" s="15" t="str">
        <f t="shared" si="8"/>
        <v/>
      </c>
      <c r="AB25" s="15" t="str">
        <f t="shared" si="2"/>
        <v/>
      </c>
      <c r="AC25" s="15" t="str">
        <f t="shared" si="2"/>
        <v xml:space="preserve"> </v>
      </c>
      <c r="AD25" s="15" t="str">
        <f t="shared" si="2"/>
        <v/>
      </c>
      <c r="AE25" s="15" t="str">
        <f t="shared" si="2"/>
        <v xml:space="preserve"> </v>
      </c>
      <c r="AF25" s="15" t="str">
        <f t="shared" si="2"/>
        <v/>
      </c>
      <c r="AG25" s="5" t="str">
        <f t="shared" si="2"/>
        <v/>
      </c>
    </row>
    <row r="26" spans="2:33" s="30" customFormat="1" ht="15.75" x14ac:dyDescent="0.25">
      <c r="B26" s="36">
        <v>17</v>
      </c>
      <c r="C26" s="36">
        <v>19</v>
      </c>
      <c r="D26" s="36">
        <v>2</v>
      </c>
      <c r="E26" s="36"/>
      <c r="F26" s="12">
        <v>17</v>
      </c>
      <c r="G26" s="4">
        <f t="shared" ca="1" si="5"/>
        <v>0</v>
      </c>
      <c r="H26" s="19">
        <f t="shared" ca="1" si="6"/>
        <v>0</v>
      </c>
      <c r="I26" s="69">
        <f t="shared" ca="1" si="7"/>
        <v>2</v>
      </c>
      <c r="J26" s="92"/>
      <c r="K26" s="97"/>
      <c r="L26" s="76"/>
      <c r="M26" s="98"/>
      <c r="N26" s="32" t="str">
        <f t="shared" si="4"/>
        <v/>
      </c>
      <c r="O26" s="15" t="str">
        <f t="shared" si="8"/>
        <v xml:space="preserve"> </v>
      </c>
      <c r="P26" s="15" t="str">
        <f t="shared" si="8"/>
        <v/>
      </c>
      <c r="Q26" s="15" t="str">
        <f t="shared" si="8"/>
        <v/>
      </c>
      <c r="R26" s="15" t="str">
        <f t="shared" si="8"/>
        <v/>
      </c>
      <c r="S26" s="15" t="str">
        <f t="shared" si="8"/>
        <v/>
      </c>
      <c r="T26" s="15" t="str">
        <f t="shared" si="8"/>
        <v/>
      </c>
      <c r="U26" s="15" t="str">
        <f t="shared" si="8"/>
        <v/>
      </c>
      <c r="V26" s="15" t="str">
        <f t="shared" si="8"/>
        <v/>
      </c>
      <c r="W26" s="15" t="str">
        <f t="shared" si="8"/>
        <v/>
      </c>
      <c r="X26" s="15" t="str">
        <f t="shared" si="8"/>
        <v/>
      </c>
      <c r="Y26" s="15" t="str">
        <f t="shared" si="8"/>
        <v/>
      </c>
      <c r="Z26" s="15" t="str">
        <f t="shared" si="8"/>
        <v/>
      </c>
      <c r="AA26" s="15" t="str">
        <f t="shared" si="8"/>
        <v/>
      </c>
      <c r="AB26" s="15" t="str">
        <f t="shared" si="8"/>
        <v/>
      </c>
      <c r="AC26" s="15" t="str">
        <f t="shared" si="8"/>
        <v/>
      </c>
      <c r="AD26" s="15" t="str">
        <f t="shared" si="8"/>
        <v xml:space="preserve"> </v>
      </c>
      <c r="AE26" s="15" t="str">
        <f t="shared" ref="AB26:AG28" si="9">IF(ISNA(MATCH(COLUMN()-13,$B26:$E26,0)),"",IF($K26=MATCH(COLUMN()-13,$B26:$E26,0),3,IF($L26=MATCH(COLUMN()-13,$B26:$E26,0),2,IF($M26=MATCH(COLUMN()-13,$B26:$E26,0),1," "))))</f>
        <v/>
      </c>
      <c r="AF26" s="15" t="str">
        <f t="shared" si="9"/>
        <v xml:space="preserve"> </v>
      </c>
      <c r="AG26" s="5" t="str">
        <f t="shared" si="9"/>
        <v/>
      </c>
    </row>
    <row r="27" spans="2:33" s="30" customFormat="1" ht="15.75" x14ac:dyDescent="0.25">
      <c r="B27" s="36">
        <v>18</v>
      </c>
      <c r="C27" s="36">
        <v>20</v>
      </c>
      <c r="D27" s="36">
        <v>3</v>
      </c>
      <c r="E27" s="36"/>
      <c r="F27" s="12">
        <v>18</v>
      </c>
      <c r="G27" s="4">
        <f t="shared" ca="1" si="5"/>
        <v>0</v>
      </c>
      <c r="H27" s="19">
        <f t="shared" ca="1" si="6"/>
        <v>0</v>
      </c>
      <c r="I27" s="69">
        <f t="shared" ca="1" si="7"/>
        <v>3</v>
      </c>
      <c r="J27" s="92"/>
      <c r="K27" s="97"/>
      <c r="L27" s="76"/>
      <c r="M27" s="98"/>
      <c r="N27" s="32" t="str">
        <f t="shared" si="4"/>
        <v/>
      </c>
      <c r="O27" s="15" t="str">
        <f t="shared" si="8"/>
        <v/>
      </c>
      <c r="P27" s="15" t="str">
        <f t="shared" si="8"/>
        <v xml:space="preserve"> </v>
      </c>
      <c r="Q27" s="15" t="str">
        <f t="shared" si="8"/>
        <v/>
      </c>
      <c r="R27" s="15" t="str">
        <f t="shared" si="8"/>
        <v/>
      </c>
      <c r="S27" s="15" t="str">
        <f t="shared" si="8"/>
        <v/>
      </c>
      <c r="T27" s="15" t="str">
        <f t="shared" si="8"/>
        <v/>
      </c>
      <c r="U27" s="15" t="str">
        <f t="shared" si="8"/>
        <v/>
      </c>
      <c r="V27" s="15" t="str">
        <f t="shared" si="8"/>
        <v/>
      </c>
      <c r="W27" s="15" t="str">
        <f t="shared" si="8"/>
        <v/>
      </c>
      <c r="X27" s="15" t="str">
        <f t="shared" si="8"/>
        <v/>
      </c>
      <c r="Y27" s="15" t="str">
        <f t="shared" si="8"/>
        <v/>
      </c>
      <c r="Z27" s="15" t="str">
        <f t="shared" si="8"/>
        <v/>
      </c>
      <c r="AA27" s="15" t="str">
        <f t="shared" si="8"/>
        <v/>
      </c>
      <c r="AB27" s="15" t="str">
        <f t="shared" si="9"/>
        <v/>
      </c>
      <c r="AC27" s="15" t="str">
        <f t="shared" si="9"/>
        <v/>
      </c>
      <c r="AD27" s="15" t="str">
        <f t="shared" si="9"/>
        <v/>
      </c>
      <c r="AE27" s="15" t="str">
        <f t="shared" si="9"/>
        <v xml:space="preserve"> </v>
      </c>
      <c r="AF27" s="15" t="str">
        <f t="shared" si="9"/>
        <v/>
      </c>
      <c r="AG27" s="5" t="str">
        <f t="shared" si="9"/>
        <v xml:space="preserve"> </v>
      </c>
    </row>
    <row r="28" spans="2:33" s="30" customFormat="1" ht="15.75" x14ac:dyDescent="0.25">
      <c r="B28" s="36">
        <v>19</v>
      </c>
      <c r="C28" s="36">
        <v>1</v>
      </c>
      <c r="D28" s="36">
        <v>4</v>
      </c>
      <c r="E28" s="36"/>
      <c r="F28" s="12">
        <v>19</v>
      </c>
      <c r="G28" s="4">
        <f t="shared" ca="1" si="5"/>
        <v>0</v>
      </c>
      <c r="H28" s="19">
        <f t="shared" ca="1" si="6"/>
        <v>1</v>
      </c>
      <c r="I28" s="69">
        <f t="shared" ca="1" si="7"/>
        <v>4</v>
      </c>
      <c r="J28" s="92"/>
      <c r="K28" s="97"/>
      <c r="L28" s="76"/>
      <c r="M28" s="98"/>
      <c r="N28" s="32" t="str">
        <f t="shared" si="4"/>
        <v xml:space="preserve"> </v>
      </c>
      <c r="O28" s="15" t="str">
        <f t="shared" si="8"/>
        <v/>
      </c>
      <c r="P28" s="15" t="str">
        <f t="shared" si="8"/>
        <v/>
      </c>
      <c r="Q28" s="15" t="str">
        <f t="shared" si="8"/>
        <v xml:space="preserve"> </v>
      </c>
      <c r="R28" s="15" t="str">
        <f t="shared" si="8"/>
        <v/>
      </c>
      <c r="S28" s="15" t="str">
        <f t="shared" si="8"/>
        <v/>
      </c>
      <c r="T28" s="15" t="str">
        <f t="shared" si="8"/>
        <v/>
      </c>
      <c r="U28" s="15" t="str">
        <f t="shared" si="8"/>
        <v/>
      </c>
      <c r="V28" s="15" t="str">
        <f t="shared" si="8"/>
        <v/>
      </c>
      <c r="W28" s="15" t="str">
        <f t="shared" si="8"/>
        <v/>
      </c>
      <c r="X28" s="15" t="str">
        <f t="shared" si="8"/>
        <v/>
      </c>
      <c r="Y28" s="15" t="str">
        <f t="shared" si="8"/>
        <v/>
      </c>
      <c r="Z28" s="15" t="str">
        <f t="shared" si="8"/>
        <v/>
      </c>
      <c r="AA28" s="15" t="str">
        <f t="shared" si="8"/>
        <v/>
      </c>
      <c r="AB28" s="15" t="str">
        <f t="shared" si="9"/>
        <v/>
      </c>
      <c r="AC28" s="15" t="str">
        <f t="shared" si="9"/>
        <v/>
      </c>
      <c r="AD28" s="15" t="str">
        <f t="shared" si="9"/>
        <v/>
      </c>
      <c r="AE28" s="15" t="str">
        <f t="shared" si="9"/>
        <v/>
      </c>
      <c r="AF28" s="15" t="str">
        <f t="shared" si="9"/>
        <v xml:space="preserve"> </v>
      </c>
      <c r="AG28" s="5" t="str">
        <f t="shared" si="9"/>
        <v/>
      </c>
    </row>
    <row r="29" spans="2:33" s="30" customFormat="1" ht="16.5" thickBot="1" x14ac:dyDescent="0.3">
      <c r="B29" s="36">
        <v>20</v>
      </c>
      <c r="C29" s="36">
        <v>2</v>
      </c>
      <c r="D29" s="36">
        <v>5</v>
      </c>
      <c r="E29" s="36"/>
      <c r="F29" s="13">
        <v>20</v>
      </c>
      <c r="G29" s="6">
        <f t="shared" ca="1" si="5"/>
        <v>0</v>
      </c>
      <c r="H29" s="39">
        <f t="shared" ca="1" si="6"/>
        <v>2</v>
      </c>
      <c r="I29" s="40">
        <f t="shared" ca="1" si="7"/>
        <v>5</v>
      </c>
      <c r="J29" s="93"/>
      <c r="K29" s="99"/>
      <c r="L29" s="100"/>
      <c r="M29" s="101"/>
      <c r="N29" s="20" t="str">
        <f t="shared" si="4"/>
        <v/>
      </c>
      <c r="O29" s="16" t="str">
        <f t="shared" si="1"/>
        <v xml:space="preserve"> </v>
      </c>
      <c r="P29" s="16" t="str">
        <f t="shared" si="1"/>
        <v/>
      </c>
      <c r="Q29" s="16" t="str">
        <f t="shared" si="1"/>
        <v/>
      </c>
      <c r="R29" s="16" t="str">
        <f t="shared" si="1"/>
        <v xml:space="preserve"> </v>
      </c>
      <c r="S29" s="16" t="str">
        <f t="shared" si="1"/>
        <v/>
      </c>
      <c r="T29" s="16" t="str">
        <f t="shared" si="1"/>
        <v/>
      </c>
      <c r="U29" s="16" t="str">
        <f t="shared" si="1"/>
        <v/>
      </c>
      <c r="V29" s="16" t="str">
        <f t="shared" si="1"/>
        <v/>
      </c>
      <c r="W29" s="16" t="str">
        <f t="shared" si="1"/>
        <v/>
      </c>
      <c r="X29" s="16" t="str">
        <f t="shared" si="1"/>
        <v/>
      </c>
      <c r="Y29" s="16" t="str">
        <f t="shared" si="1"/>
        <v/>
      </c>
      <c r="Z29" s="16" t="str">
        <f t="shared" si="1"/>
        <v/>
      </c>
      <c r="AA29" s="16" t="str">
        <f t="shared" si="1"/>
        <v/>
      </c>
      <c r="AB29" s="16" t="str">
        <f t="shared" ref="AB29:AG29" si="10">IF(ISNA(MATCH(COLUMN()-13,$B29:$E29,0)),"",IF($K29=MATCH(COLUMN()-13,$B29:$E29,0),3,IF($L29=MATCH(COLUMN()-13,$B29:$E29,0),2,IF($M29=MATCH(COLUMN()-13,$B29:$E29,0),1," "))))</f>
        <v/>
      </c>
      <c r="AC29" s="16" t="str">
        <f t="shared" si="10"/>
        <v/>
      </c>
      <c r="AD29" s="16" t="str">
        <f t="shared" si="10"/>
        <v/>
      </c>
      <c r="AE29" s="16" t="str">
        <f t="shared" si="10"/>
        <v/>
      </c>
      <c r="AF29" s="16" t="str">
        <f t="shared" si="10"/>
        <v/>
      </c>
      <c r="AG29" s="43" t="str">
        <f t="shared" si="10"/>
        <v xml:space="preserve"> </v>
      </c>
    </row>
    <row r="30" spans="2:33" ht="15.75" x14ac:dyDescent="0.25">
      <c r="K30" s="151" t="s">
        <v>4</v>
      </c>
      <c r="L30" s="152"/>
      <c r="M30" s="153"/>
      <c r="N30" s="112" t="str">
        <f t="shared" ref="N30:AG30" si="11">IF(SUM(N10:N29)&lt;1," ",SUM(N10:N29))</f>
        <v xml:space="preserve"> </v>
      </c>
      <c r="O30" s="45" t="str">
        <f t="shared" si="11"/>
        <v xml:space="preserve"> </v>
      </c>
      <c r="P30" s="45" t="str">
        <f t="shared" si="11"/>
        <v xml:space="preserve"> </v>
      </c>
      <c r="Q30" s="45" t="str">
        <f t="shared" si="11"/>
        <v xml:space="preserve"> </v>
      </c>
      <c r="R30" s="45" t="str">
        <f t="shared" si="11"/>
        <v xml:space="preserve"> </v>
      </c>
      <c r="S30" s="45" t="str">
        <f t="shared" si="11"/>
        <v xml:space="preserve"> </v>
      </c>
      <c r="T30" s="45" t="str">
        <f t="shared" si="11"/>
        <v xml:space="preserve"> </v>
      </c>
      <c r="U30" s="45" t="str">
        <f t="shared" si="11"/>
        <v xml:space="preserve"> </v>
      </c>
      <c r="V30" s="45" t="str">
        <f t="shared" si="11"/>
        <v xml:space="preserve"> </v>
      </c>
      <c r="W30" s="45" t="str">
        <f t="shared" si="11"/>
        <v xml:space="preserve"> </v>
      </c>
      <c r="X30" s="45" t="str">
        <f t="shared" si="11"/>
        <v xml:space="preserve"> </v>
      </c>
      <c r="Y30" s="45" t="str">
        <f t="shared" si="11"/>
        <v xml:space="preserve"> </v>
      </c>
      <c r="Z30" s="45" t="str">
        <f t="shared" si="11"/>
        <v xml:space="preserve"> </v>
      </c>
      <c r="AA30" s="45" t="str">
        <f t="shared" si="11"/>
        <v xml:space="preserve"> </v>
      </c>
      <c r="AB30" s="45" t="str">
        <f t="shared" si="11"/>
        <v xml:space="preserve"> </v>
      </c>
      <c r="AC30" s="45" t="str">
        <f t="shared" si="11"/>
        <v xml:space="preserve"> </v>
      </c>
      <c r="AD30" s="45" t="str">
        <f t="shared" si="11"/>
        <v xml:space="preserve"> </v>
      </c>
      <c r="AE30" s="45" t="str">
        <f t="shared" si="11"/>
        <v xml:space="preserve"> </v>
      </c>
      <c r="AF30" s="45" t="str">
        <f t="shared" si="11"/>
        <v xml:space="preserve"> </v>
      </c>
      <c r="AG30" s="46" t="str">
        <f t="shared" si="11"/>
        <v xml:space="preserve"> </v>
      </c>
    </row>
    <row r="31" spans="2:33" ht="16.5" thickBot="1" x14ac:dyDescent="0.3">
      <c r="K31" s="141" t="s">
        <v>5</v>
      </c>
      <c r="L31" s="142"/>
      <c r="M31" s="143"/>
      <c r="N31" s="120" t="e">
        <f>RANK(N30,$N30:$AL30,0)</f>
        <v>#VALUE!</v>
      </c>
      <c r="O31" s="121" t="e">
        <f t="shared" ref="O31:AG31" si="12">RANK(O30,$N30:$AL30,0)</f>
        <v>#VALUE!</v>
      </c>
      <c r="P31" s="121" t="e">
        <f t="shared" si="12"/>
        <v>#VALUE!</v>
      </c>
      <c r="Q31" s="121" t="e">
        <f t="shared" si="12"/>
        <v>#VALUE!</v>
      </c>
      <c r="R31" s="121" t="e">
        <f t="shared" si="12"/>
        <v>#VALUE!</v>
      </c>
      <c r="S31" s="121" t="e">
        <f t="shared" si="12"/>
        <v>#VALUE!</v>
      </c>
      <c r="T31" s="121" t="e">
        <f t="shared" si="12"/>
        <v>#VALUE!</v>
      </c>
      <c r="U31" s="121" t="e">
        <f t="shared" si="12"/>
        <v>#VALUE!</v>
      </c>
      <c r="V31" s="121" t="e">
        <f t="shared" si="12"/>
        <v>#VALUE!</v>
      </c>
      <c r="W31" s="121" t="e">
        <f t="shared" si="12"/>
        <v>#VALUE!</v>
      </c>
      <c r="X31" s="121" t="e">
        <f t="shared" si="12"/>
        <v>#VALUE!</v>
      </c>
      <c r="Y31" s="121" t="e">
        <f t="shared" si="12"/>
        <v>#VALUE!</v>
      </c>
      <c r="Z31" s="121" t="e">
        <f t="shared" si="12"/>
        <v>#VALUE!</v>
      </c>
      <c r="AA31" s="121" t="e">
        <f t="shared" si="12"/>
        <v>#VALUE!</v>
      </c>
      <c r="AB31" s="121" t="e">
        <f t="shared" si="12"/>
        <v>#VALUE!</v>
      </c>
      <c r="AC31" s="121" t="e">
        <f t="shared" si="12"/>
        <v>#VALUE!</v>
      </c>
      <c r="AD31" s="121" t="e">
        <f t="shared" si="12"/>
        <v>#VALUE!</v>
      </c>
      <c r="AE31" s="121" t="e">
        <f t="shared" si="12"/>
        <v>#VALUE!</v>
      </c>
      <c r="AF31" s="121" t="e">
        <f t="shared" si="12"/>
        <v>#VALUE!</v>
      </c>
      <c r="AG31" s="122" t="e">
        <f t="shared" si="12"/>
        <v>#VALUE!</v>
      </c>
    </row>
    <row r="32" spans="2:33" x14ac:dyDescent="0.2">
      <c r="N32" s="7"/>
      <c r="O32" s="7"/>
      <c r="P32" s="7"/>
      <c r="Q32" s="7"/>
    </row>
    <row r="33" spans="14:33" s="31" customFormat="1" ht="135.75" customHeight="1" x14ac:dyDescent="0.2">
      <c r="N33" s="8" t="str">
        <f>+Names!$B$2</f>
        <v>Luke</v>
      </c>
      <c r="O33" s="8" t="str">
        <f>+Names!$B$3</f>
        <v>Ro</v>
      </c>
      <c r="P33" s="8" t="str">
        <f>+Names!$B$4</f>
        <v>Caleb</v>
      </c>
      <c r="Q33" s="8" t="str">
        <f>+Names!$B$5</f>
        <v>Zau</v>
      </c>
      <c r="R33" s="8" t="str">
        <f>+Names!$B$6</f>
        <v>Brady</v>
      </c>
      <c r="S33" s="8" t="str">
        <f>+Names!$B$7</f>
        <v>Theo</v>
      </c>
      <c r="T33" s="8" t="str">
        <f>+Names!$B$8</f>
        <v>Jonathan</v>
      </c>
      <c r="U33" s="8" t="str">
        <f>+Names!$B$9</f>
        <v>Brenton</v>
      </c>
      <c r="V33" s="8" t="str">
        <f>+Names!$B$10</f>
        <v>Jospe</v>
      </c>
      <c r="W33" s="8" t="str">
        <f>+Names!$B$11</f>
        <v>Emery</v>
      </c>
      <c r="X33" s="8" t="str">
        <f>+Names!$B$12</f>
        <v>Isaac</v>
      </c>
      <c r="Y33" s="8" t="str">
        <f>+Names!$B$13</f>
        <v>Alain</v>
      </c>
      <c r="Z33" s="8" t="str">
        <f>+Names!$B$14</f>
        <v>Silas</v>
      </c>
      <c r="AA33" s="8" t="str">
        <f>+Names!$B$15</f>
        <v>De</v>
      </c>
      <c r="AB33" s="8">
        <f>+Names!$B$19</f>
        <v>0</v>
      </c>
      <c r="AC33" s="8">
        <f>+Names!$B$20</f>
        <v>0</v>
      </c>
      <c r="AD33" s="8">
        <f>+Names!$B$18</f>
        <v>0</v>
      </c>
      <c r="AE33" s="8" t="e">
        <f>+Names!#REF!</f>
        <v>#REF!</v>
      </c>
      <c r="AF33" s="8" t="e">
        <f>+Names!#REF!</f>
        <v>#REF!</v>
      </c>
      <c r="AG33" s="8">
        <f>+Names!$B$21</f>
        <v>0</v>
      </c>
    </row>
  </sheetData>
  <sheetProtection sheet="1" objects="1" scenarios="1" selectLockedCells="1"/>
  <mergeCells count="20">
    <mergeCell ref="M6:N6"/>
    <mergeCell ref="G8:I8"/>
    <mergeCell ref="K8:M8"/>
    <mergeCell ref="K30:M30"/>
    <mergeCell ref="K31:M31"/>
    <mergeCell ref="N8:AG8"/>
    <mergeCell ref="F4:G4"/>
    <mergeCell ref="M4:N4"/>
    <mergeCell ref="S4:U4"/>
    <mergeCell ref="F5:G5"/>
    <mergeCell ref="M5:N5"/>
    <mergeCell ref="S5:U5"/>
    <mergeCell ref="F3:G3"/>
    <mergeCell ref="M3:N3"/>
    <mergeCell ref="S3:U3"/>
    <mergeCell ref="F1:AB1"/>
    <mergeCell ref="F2:G2"/>
    <mergeCell ref="I2:L2"/>
    <mergeCell ref="M2:N2"/>
    <mergeCell ref="R2:U2"/>
  </mergeCells>
  <conditionalFormatting sqref="F10:F29">
    <cfRule type="expression" dxfId="424" priority="31" stopIfTrue="1">
      <formula>$H$2=F10</formula>
    </cfRule>
  </conditionalFormatting>
  <conditionalFormatting sqref="G10">
    <cfRule type="expression" dxfId="423" priority="13" stopIfTrue="1">
      <formula>$K$10=1</formula>
    </cfRule>
    <cfRule type="expression" dxfId="422" priority="14" stopIfTrue="1">
      <formula>$L$10=1</formula>
    </cfRule>
    <cfRule type="expression" dxfId="421" priority="15" stopIfTrue="1">
      <formula>$M$10=1</formula>
    </cfRule>
  </conditionalFormatting>
  <conditionalFormatting sqref="G11:G29">
    <cfRule type="expression" dxfId="420" priority="16" stopIfTrue="1">
      <formula>K11=1</formula>
    </cfRule>
    <cfRule type="expression" dxfId="419" priority="17" stopIfTrue="1">
      <formula>L11=1</formula>
    </cfRule>
    <cfRule type="expression" dxfId="418" priority="18" stopIfTrue="1">
      <formula>M11=1</formula>
    </cfRule>
  </conditionalFormatting>
  <conditionalFormatting sqref="H10:H29">
    <cfRule type="expression" dxfId="417" priority="19" stopIfTrue="1">
      <formula>K10=2</formula>
    </cfRule>
    <cfRule type="expression" dxfId="416" priority="20" stopIfTrue="1">
      <formula>L10=2</formula>
    </cfRule>
    <cfRule type="expression" dxfId="415" priority="21" stopIfTrue="1">
      <formula>M10=2</formula>
    </cfRule>
  </conditionalFormatting>
  <conditionalFormatting sqref="I10:I29">
    <cfRule type="expression" dxfId="414" priority="22" stopIfTrue="1">
      <formula>K10=3</formula>
    </cfRule>
    <cfRule type="expression" dxfId="413" priority="23" stopIfTrue="1">
      <formula>L10=3</formula>
    </cfRule>
    <cfRule type="expression" dxfId="412" priority="24" stopIfTrue="1">
      <formula>M10=3</formula>
    </cfRule>
  </conditionalFormatting>
  <conditionalFormatting sqref="I3:N6">
    <cfRule type="expression" dxfId="411" priority="28" stopIfTrue="1">
      <formula>$M3="1st"</formula>
    </cfRule>
    <cfRule type="expression" dxfId="410" priority="29" stopIfTrue="1">
      <formula>$M3="2nd"</formula>
    </cfRule>
    <cfRule type="expression" dxfId="409" priority="30" stopIfTrue="1">
      <formula>$M3="3rd"</formula>
    </cfRule>
  </conditionalFormatting>
  <conditionalFormatting sqref="J10:J29">
    <cfRule type="expression" dxfId="408" priority="25" stopIfTrue="1">
      <formula>K10=4</formula>
    </cfRule>
    <cfRule type="expression" dxfId="407" priority="26" stopIfTrue="1">
      <formula>L10=4</formula>
    </cfRule>
    <cfRule type="expression" dxfId="406" priority="27" stopIfTrue="1">
      <formula>M10=4</formula>
    </cfRule>
  </conditionalFormatting>
  <conditionalFormatting sqref="N10:AG29">
    <cfRule type="cellIs" dxfId="405" priority="10" stopIfTrue="1" operator="equal">
      <formula>3</formula>
    </cfRule>
    <cfRule type="cellIs" dxfId="404" priority="11" stopIfTrue="1" operator="equal">
      <formula>2</formula>
    </cfRule>
    <cfRule type="cellIs" dxfId="403" priority="12" stopIfTrue="1" operator="equal">
      <formula>1</formula>
    </cfRule>
  </conditionalFormatting>
  <conditionalFormatting sqref="N31:AG31">
    <cfRule type="cellIs" dxfId="402" priority="1" operator="equal">
      <formula>3</formula>
    </cfRule>
    <cfRule type="cellIs" dxfId="401" priority="2" operator="equal">
      <formula>2</formula>
    </cfRule>
    <cfRule type="cellIs" dxfId="400" priority="3" operator="equal">
      <formula>1</formula>
    </cfRule>
  </conditionalFormatting>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32"/>
  <sheetViews>
    <sheetView showGridLines="0" zoomScaleNormal="100" workbookViewId="0">
      <selection activeCell="H2" sqref="H2"/>
    </sheetView>
  </sheetViews>
  <sheetFormatPr defaultColWidth="9.140625" defaultRowHeight="12.75" x14ac:dyDescent="0.2"/>
  <cols>
    <col min="1" max="1" width="8.425781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2"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2" s="29" customFormat="1" ht="22.5" x14ac:dyDescent="0.45">
      <c r="F2" s="133" t="s">
        <v>2</v>
      </c>
      <c r="G2" s="134"/>
      <c r="H2" s="47">
        <v>1</v>
      </c>
      <c r="I2" s="135" t="str">
        <f>+Names!$C$1</f>
        <v>Driver</v>
      </c>
      <c r="J2" s="136"/>
      <c r="K2" s="136"/>
      <c r="L2" s="137"/>
      <c r="M2" s="130" t="s">
        <v>8</v>
      </c>
      <c r="N2" s="130"/>
      <c r="R2" s="138" t="s">
        <v>12</v>
      </c>
      <c r="S2" s="139"/>
      <c r="T2" s="139"/>
      <c r="U2" s="140"/>
    </row>
    <row r="3" spans="2:32"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2"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2"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2" s="29" customFormat="1" ht="18.75" hidden="1" x14ac:dyDescent="0.3">
      <c r="E6" s="17"/>
      <c r="F6" s="55"/>
      <c r="G6" s="56"/>
      <c r="H6" s="3"/>
      <c r="I6" s="84"/>
      <c r="J6" s="85"/>
      <c r="K6" s="85"/>
      <c r="L6" s="86"/>
      <c r="M6" s="130"/>
      <c r="N6" s="130"/>
      <c r="R6"/>
      <c r="S6" s="26"/>
      <c r="T6" s="26"/>
      <c r="U6" s="26"/>
    </row>
    <row r="7" spans="2:32" ht="13.5" thickBot="1" x14ac:dyDescent="0.25">
      <c r="E7" s="28"/>
    </row>
    <row r="8" spans="2:32" s="30" customFormat="1" ht="16.5" thickBot="1" x14ac:dyDescent="0.25">
      <c r="G8" s="144" t="s">
        <v>3</v>
      </c>
      <c r="H8" s="145"/>
      <c r="I8" s="146"/>
      <c r="J8" s="87"/>
      <c r="K8" s="147" t="s">
        <v>34</v>
      </c>
      <c r="L8" s="147"/>
      <c r="M8" s="148"/>
      <c r="N8" s="144" t="s">
        <v>13</v>
      </c>
      <c r="O8" s="145"/>
      <c r="P8" s="145"/>
      <c r="Q8" s="145"/>
      <c r="R8" s="145"/>
      <c r="S8" s="145"/>
      <c r="T8" s="145"/>
      <c r="U8" s="145"/>
      <c r="V8" s="145"/>
      <c r="W8" s="145"/>
      <c r="X8" s="145"/>
      <c r="Y8" s="145"/>
      <c r="Z8" s="145"/>
      <c r="AA8" s="145"/>
      <c r="AB8" s="145"/>
      <c r="AC8" s="145"/>
      <c r="AD8" s="145"/>
      <c r="AE8" s="145"/>
      <c r="AF8" s="146"/>
    </row>
    <row r="9" spans="2:32" s="30" customFormat="1" ht="16.5" thickBot="1" x14ac:dyDescent="0.3">
      <c r="F9" s="14" t="s">
        <v>2</v>
      </c>
      <c r="G9" s="61" t="s">
        <v>0</v>
      </c>
      <c r="H9" s="62" t="s">
        <v>1</v>
      </c>
      <c r="I9" s="62" t="s">
        <v>6</v>
      </c>
      <c r="J9" s="63" t="s">
        <v>30</v>
      </c>
      <c r="K9" s="64" t="s">
        <v>31</v>
      </c>
      <c r="L9" s="62" t="s">
        <v>32</v>
      </c>
      <c r="M9" s="63" t="s">
        <v>33</v>
      </c>
      <c r="N9" s="54">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c r="AF9" s="58">
        <f>+Names!$A$20</f>
        <v>0</v>
      </c>
    </row>
    <row r="10" spans="2:32" s="30" customFormat="1" ht="15.75" x14ac:dyDescent="0.25">
      <c r="B10" s="36">
        <v>1</v>
      </c>
      <c r="C10" s="36">
        <v>3</v>
      </c>
      <c r="D10" s="36">
        <v>6</v>
      </c>
      <c r="E10" s="36"/>
      <c r="F10" s="11">
        <v>1</v>
      </c>
      <c r="G10" s="37">
        <f ca="1">INDIRECT(ADDRESS(B10+1,1,,,"Names"))</f>
        <v>1</v>
      </c>
      <c r="H10" s="18">
        <f t="shared" ref="H10:I18" ca="1" si="0">INDIRECT(ADDRESS(C10+1,1,,,"Names"))</f>
        <v>3</v>
      </c>
      <c r="I10" s="38">
        <f t="shared" ca="1" si="0"/>
        <v>6</v>
      </c>
      <c r="J10" s="105"/>
      <c r="K10" s="49"/>
      <c r="L10" s="81"/>
      <c r="M10" s="77"/>
      <c r="N10" s="88" t="str">
        <f>IF(ISNA(MATCH(COLUMN()-13,$B10:$E10,0)),"",IF($K10=MATCH(COLUMN()-13,$B10:$E10,0),3,IF($L10=MATCH(COLUMN()-13,$B10:$E10,0),2,IF($M10=MATCH(COLUMN()-13,$B10:$E10,0),1," "))))</f>
        <v xml:space="preserve"> </v>
      </c>
      <c r="O10" s="89" t="str">
        <f t="shared" ref="O10:AB11" si="1">IF(ISNA(MATCH(COLUMN()-13,$B10:$E10,0)),"",IF($K10=MATCH(COLUMN()-13,$B10:$E10,0),3,IF($L10=MATCH(COLUMN()-13,$B10:$E10,0),2,IF($M10=MATCH(COLUMN()-13,$B10:$E10,0),1," "))))</f>
        <v/>
      </c>
      <c r="P10" s="89" t="str">
        <f t="shared" si="1"/>
        <v xml:space="preserve"> </v>
      </c>
      <c r="Q10" s="89" t="str">
        <f t="shared" si="1"/>
        <v/>
      </c>
      <c r="R10" s="89" t="str">
        <f t="shared" si="1"/>
        <v/>
      </c>
      <c r="S10" s="89" t="str">
        <f t="shared" si="1"/>
        <v xml:space="preserve"> </v>
      </c>
      <c r="T10" s="89" t="str">
        <f t="shared" si="1"/>
        <v/>
      </c>
      <c r="U10" s="89" t="str">
        <f t="shared" si="1"/>
        <v/>
      </c>
      <c r="V10" s="89" t="str">
        <f t="shared" si="1"/>
        <v/>
      </c>
      <c r="W10" s="89" t="str">
        <f t="shared" si="1"/>
        <v/>
      </c>
      <c r="X10" s="89" t="str">
        <f t="shared" si="1"/>
        <v/>
      </c>
      <c r="Y10" s="89" t="str">
        <f t="shared" si="1"/>
        <v/>
      </c>
      <c r="Z10" s="89" t="str">
        <f t="shared" si="1"/>
        <v/>
      </c>
      <c r="AA10" s="89" t="str">
        <f t="shared" si="1"/>
        <v/>
      </c>
      <c r="AB10" s="89" t="str">
        <f t="shared" si="1"/>
        <v/>
      </c>
      <c r="AC10" s="89" t="str">
        <f t="shared" ref="AC10:AF10" si="2">IF(ISNA(MATCH(COLUMN()-13,$B10:$E10,0)),"",IF($K10=MATCH(COLUMN()-13,$B10:$E10,0),3,IF($L10=MATCH(COLUMN()-13,$B10:$E10,0),2,IF($M10=MATCH(COLUMN()-13,$B10:$E10,0),1," "))))</f>
        <v/>
      </c>
      <c r="AD10" s="89" t="str">
        <f t="shared" si="2"/>
        <v/>
      </c>
      <c r="AE10" s="89" t="str">
        <f t="shared" si="2"/>
        <v/>
      </c>
      <c r="AF10" s="90" t="str">
        <f t="shared" si="2"/>
        <v/>
      </c>
    </row>
    <row r="11" spans="2:32" s="30" customFormat="1" ht="15.75" x14ac:dyDescent="0.25">
      <c r="B11" s="36">
        <v>2</v>
      </c>
      <c r="C11" s="36">
        <v>4</v>
      </c>
      <c r="D11" s="36">
        <v>7</v>
      </c>
      <c r="E11" s="36"/>
      <c r="F11" s="12">
        <v>2</v>
      </c>
      <c r="G11" s="4">
        <f t="shared" ref="G11:G18" ca="1" si="3">INDIRECT(ADDRESS(B11+1,1,,,"Names"))</f>
        <v>2</v>
      </c>
      <c r="H11" s="19">
        <f t="shared" ca="1" si="0"/>
        <v>4</v>
      </c>
      <c r="I11" s="69">
        <f t="shared" ca="1" si="0"/>
        <v>7</v>
      </c>
      <c r="J11" s="92"/>
      <c r="K11" s="97"/>
      <c r="L11" s="76"/>
      <c r="M11" s="98"/>
      <c r="N11" s="32" t="str">
        <f t="shared" ref="N11:T28" si="4">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ref="U11:AF17" si="5">IF(ISNA(MATCH(COLUMN()-13,$B11:$E11,0)),"",IF($K11=MATCH(COLUMN()-13,$B11:$E11,0),3,IF($L11=MATCH(COLUMN()-13,$B11:$E11,0),2,IF($M11=MATCH(COLUMN()-13,$B11:$E11,0),1," "))))</f>
        <v/>
      </c>
      <c r="V11" s="15" t="str">
        <f t="shared" si="5"/>
        <v/>
      </c>
      <c r="W11" s="15" t="str">
        <f t="shared" si="5"/>
        <v/>
      </c>
      <c r="X11" s="15" t="str">
        <f t="shared" si="5"/>
        <v/>
      </c>
      <c r="Y11" s="15" t="str">
        <f t="shared" si="5"/>
        <v/>
      </c>
      <c r="Z11" s="15" t="str">
        <f t="shared" si="5"/>
        <v/>
      </c>
      <c r="AA11" s="15" t="str">
        <f t="shared" si="5"/>
        <v/>
      </c>
      <c r="AB11" s="15" t="str">
        <f t="shared" si="5"/>
        <v/>
      </c>
      <c r="AC11" s="15" t="str">
        <f t="shared" si="5"/>
        <v/>
      </c>
      <c r="AD11" s="15" t="str">
        <f t="shared" si="5"/>
        <v/>
      </c>
      <c r="AE11" s="15" t="str">
        <f t="shared" si="5"/>
        <v/>
      </c>
      <c r="AF11" s="5" t="str">
        <f t="shared" si="5"/>
        <v/>
      </c>
    </row>
    <row r="12" spans="2:32" s="30" customFormat="1" ht="15.75" x14ac:dyDescent="0.25">
      <c r="B12" s="36">
        <v>3</v>
      </c>
      <c r="C12" s="36">
        <v>5</v>
      </c>
      <c r="D12" s="36">
        <v>8</v>
      </c>
      <c r="E12" s="36"/>
      <c r="F12" s="12">
        <v>3</v>
      </c>
      <c r="G12" s="4">
        <f t="shared" ca="1" si="3"/>
        <v>3</v>
      </c>
      <c r="H12" s="19">
        <f t="shared" ca="1" si="0"/>
        <v>5</v>
      </c>
      <c r="I12" s="69">
        <f t="shared" ca="1" si="0"/>
        <v>8</v>
      </c>
      <c r="J12" s="92"/>
      <c r="K12" s="97"/>
      <c r="L12" s="76"/>
      <c r="M12" s="98"/>
      <c r="N12" s="32" t="str">
        <f t="shared" si="4"/>
        <v/>
      </c>
      <c r="O12" s="15" t="str">
        <f t="shared" si="4"/>
        <v/>
      </c>
      <c r="P12" s="15" t="str">
        <f t="shared" si="4"/>
        <v xml:space="preserve"> </v>
      </c>
      <c r="Q12" s="15" t="str">
        <f t="shared" si="4"/>
        <v/>
      </c>
      <c r="R12" s="15" t="str">
        <f t="shared" si="4"/>
        <v xml:space="preserve"> </v>
      </c>
      <c r="S12" s="15" t="str">
        <f t="shared" si="4"/>
        <v/>
      </c>
      <c r="T12" s="15" t="str">
        <f t="shared" si="4"/>
        <v/>
      </c>
      <c r="U12" s="15" t="str">
        <f t="shared" si="5"/>
        <v xml:space="preserve"> </v>
      </c>
      <c r="V12" s="15" t="str">
        <f t="shared" si="5"/>
        <v/>
      </c>
      <c r="W12" s="15" t="str">
        <f t="shared" si="5"/>
        <v/>
      </c>
      <c r="X12" s="15" t="str">
        <f t="shared" si="5"/>
        <v/>
      </c>
      <c r="Y12" s="15" t="str">
        <f t="shared" si="5"/>
        <v/>
      </c>
      <c r="Z12" s="15" t="str">
        <f t="shared" si="5"/>
        <v/>
      </c>
      <c r="AA12" s="15" t="str">
        <f t="shared" si="5"/>
        <v/>
      </c>
      <c r="AB12" s="15" t="str">
        <f t="shared" si="5"/>
        <v/>
      </c>
      <c r="AC12" s="15" t="str">
        <f t="shared" si="5"/>
        <v/>
      </c>
      <c r="AD12" s="15" t="str">
        <f t="shared" si="5"/>
        <v/>
      </c>
      <c r="AE12" s="15" t="str">
        <f t="shared" si="5"/>
        <v/>
      </c>
      <c r="AF12" s="5" t="str">
        <f t="shared" si="5"/>
        <v/>
      </c>
    </row>
    <row r="13" spans="2:32" s="30" customFormat="1" ht="15.75" x14ac:dyDescent="0.25">
      <c r="B13" s="36">
        <v>4</v>
      </c>
      <c r="C13" s="36">
        <v>6</v>
      </c>
      <c r="D13" s="36">
        <v>9</v>
      </c>
      <c r="E13" s="36"/>
      <c r="F13" s="12">
        <v>4</v>
      </c>
      <c r="G13" s="4">
        <f t="shared" ca="1" si="3"/>
        <v>4</v>
      </c>
      <c r="H13" s="19">
        <f t="shared" ca="1" si="0"/>
        <v>6</v>
      </c>
      <c r="I13" s="69">
        <f t="shared" ca="1" si="0"/>
        <v>9</v>
      </c>
      <c r="J13" s="92"/>
      <c r="K13" s="97"/>
      <c r="L13" s="76"/>
      <c r="M13" s="98"/>
      <c r="N13" s="32" t="str">
        <f t="shared" si="4"/>
        <v/>
      </c>
      <c r="O13" s="15" t="str">
        <f t="shared" si="4"/>
        <v/>
      </c>
      <c r="P13" s="15" t="str">
        <f t="shared" si="4"/>
        <v/>
      </c>
      <c r="Q13" s="15" t="str">
        <f t="shared" si="4"/>
        <v xml:space="preserve"> </v>
      </c>
      <c r="R13" s="15" t="str">
        <f t="shared" si="4"/>
        <v/>
      </c>
      <c r="S13" s="15" t="str">
        <f t="shared" si="4"/>
        <v xml:space="preserve"> </v>
      </c>
      <c r="T13" s="15" t="str">
        <f t="shared" si="4"/>
        <v/>
      </c>
      <c r="U13" s="15" t="str">
        <f t="shared" si="5"/>
        <v/>
      </c>
      <c r="V13" s="15" t="str">
        <f t="shared" si="5"/>
        <v xml:space="preserve"> </v>
      </c>
      <c r="W13" s="15" t="str">
        <f t="shared" si="5"/>
        <v/>
      </c>
      <c r="X13" s="15" t="str">
        <f t="shared" si="5"/>
        <v/>
      </c>
      <c r="Y13" s="15" t="str">
        <f t="shared" si="5"/>
        <v/>
      </c>
      <c r="Z13" s="15" t="str">
        <f t="shared" si="5"/>
        <v/>
      </c>
      <c r="AA13" s="15" t="str">
        <f t="shared" si="5"/>
        <v/>
      </c>
      <c r="AB13" s="15" t="str">
        <f t="shared" si="5"/>
        <v/>
      </c>
      <c r="AC13" s="15" t="str">
        <f t="shared" si="5"/>
        <v/>
      </c>
      <c r="AD13" s="15" t="str">
        <f t="shared" si="5"/>
        <v/>
      </c>
      <c r="AE13" s="15" t="str">
        <f t="shared" si="5"/>
        <v/>
      </c>
      <c r="AF13" s="5" t="str">
        <f t="shared" si="5"/>
        <v/>
      </c>
    </row>
    <row r="14" spans="2:32" s="30" customFormat="1" ht="15.75" x14ac:dyDescent="0.25">
      <c r="B14" s="36">
        <v>5</v>
      </c>
      <c r="C14" s="36">
        <v>7</v>
      </c>
      <c r="D14" s="36">
        <v>10</v>
      </c>
      <c r="E14" s="36"/>
      <c r="F14" s="12">
        <v>5</v>
      </c>
      <c r="G14" s="4">
        <f t="shared" ca="1" si="3"/>
        <v>5</v>
      </c>
      <c r="H14" s="19">
        <f t="shared" ca="1" si="0"/>
        <v>7</v>
      </c>
      <c r="I14" s="69">
        <f t="shared" ca="1" si="0"/>
        <v>13</v>
      </c>
      <c r="J14" s="92"/>
      <c r="K14" s="97"/>
      <c r="L14" s="76"/>
      <c r="M14" s="98"/>
      <c r="N14" s="32" t="str">
        <f t="shared" si="4"/>
        <v/>
      </c>
      <c r="O14" s="15" t="str">
        <f t="shared" si="4"/>
        <v/>
      </c>
      <c r="P14" s="15" t="str">
        <f t="shared" si="4"/>
        <v/>
      </c>
      <c r="Q14" s="15" t="str">
        <f t="shared" si="4"/>
        <v/>
      </c>
      <c r="R14" s="15" t="str">
        <f t="shared" si="4"/>
        <v xml:space="preserve"> </v>
      </c>
      <c r="S14" s="15" t="str">
        <f t="shared" si="4"/>
        <v/>
      </c>
      <c r="T14" s="15" t="str">
        <f t="shared" si="4"/>
        <v xml:space="preserve"> </v>
      </c>
      <c r="U14" s="15" t="str">
        <f t="shared" si="5"/>
        <v/>
      </c>
      <c r="V14" s="15" t="str">
        <f t="shared" si="5"/>
        <v/>
      </c>
      <c r="W14" s="15" t="str">
        <f t="shared" si="5"/>
        <v xml:space="preserve"> </v>
      </c>
      <c r="X14" s="15" t="str">
        <f t="shared" si="5"/>
        <v/>
      </c>
      <c r="Y14" s="15" t="str">
        <f t="shared" si="5"/>
        <v/>
      </c>
      <c r="Z14" s="15" t="str">
        <f t="shared" si="5"/>
        <v/>
      </c>
      <c r="AA14" s="15" t="str">
        <f t="shared" si="5"/>
        <v/>
      </c>
      <c r="AB14" s="15" t="str">
        <f t="shared" si="5"/>
        <v/>
      </c>
      <c r="AC14" s="15" t="str">
        <f t="shared" si="5"/>
        <v/>
      </c>
      <c r="AD14" s="15" t="str">
        <f t="shared" si="5"/>
        <v/>
      </c>
      <c r="AE14" s="15" t="str">
        <f t="shared" si="5"/>
        <v/>
      </c>
      <c r="AF14" s="5" t="str">
        <f t="shared" si="5"/>
        <v/>
      </c>
    </row>
    <row r="15" spans="2:32" s="30" customFormat="1" ht="15.75" x14ac:dyDescent="0.25">
      <c r="B15" s="36">
        <v>6</v>
      </c>
      <c r="C15" s="36">
        <v>8</v>
      </c>
      <c r="D15" s="36">
        <v>11</v>
      </c>
      <c r="E15" s="36"/>
      <c r="F15" s="12">
        <v>6</v>
      </c>
      <c r="G15" s="4">
        <f t="shared" ca="1" si="3"/>
        <v>6</v>
      </c>
      <c r="H15" s="19">
        <f t="shared" ca="1" si="0"/>
        <v>8</v>
      </c>
      <c r="I15" s="69">
        <f t="shared" ca="1" si="0"/>
        <v>14</v>
      </c>
      <c r="J15" s="92"/>
      <c r="K15" s="97"/>
      <c r="L15" s="76"/>
      <c r="M15" s="98"/>
      <c r="N15" s="32" t="str">
        <f t="shared" si="4"/>
        <v/>
      </c>
      <c r="O15" s="15" t="str">
        <f t="shared" si="4"/>
        <v/>
      </c>
      <c r="P15" s="15" t="str">
        <f t="shared" si="4"/>
        <v/>
      </c>
      <c r="Q15" s="15" t="str">
        <f t="shared" si="4"/>
        <v/>
      </c>
      <c r="R15" s="15" t="str">
        <f t="shared" si="4"/>
        <v/>
      </c>
      <c r="S15" s="15" t="str">
        <f t="shared" si="4"/>
        <v xml:space="preserve"> </v>
      </c>
      <c r="T15" s="15" t="str">
        <f t="shared" si="4"/>
        <v/>
      </c>
      <c r="U15" s="15" t="str">
        <f t="shared" si="5"/>
        <v xml:space="preserve"> </v>
      </c>
      <c r="V15" s="15" t="str">
        <f t="shared" si="5"/>
        <v/>
      </c>
      <c r="W15" s="15" t="str">
        <f t="shared" si="5"/>
        <v/>
      </c>
      <c r="X15" s="15" t="str">
        <f t="shared" si="5"/>
        <v xml:space="preserve"> </v>
      </c>
      <c r="Y15" s="15" t="str">
        <f t="shared" si="5"/>
        <v/>
      </c>
      <c r="Z15" s="15" t="str">
        <f t="shared" si="5"/>
        <v/>
      </c>
      <c r="AA15" s="15" t="str">
        <f t="shared" si="5"/>
        <v/>
      </c>
      <c r="AB15" s="15" t="str">
        <f t="shared" si="5"/>
        <v/>
      </c>
      <c r="AC15" s="15" t="str">
        <f t="shared" si="5"/>
        <v/>
      </c>
      <c r="AD15" s="15" t="str">
        <f t="shared" si="5"/>
        <v/>
      </c>
      <c r="AE15" s="15" t="str">
        <f t="shared" si="5"/>
        <v/>
      </c>
      <c r="AF15" s="5" t="str">
        <f t="shared" si="5"/>
        <v/>
      </c>
    </row>
    <row r="16" spans="2:32" s="30" customFormat="1" ht="15.75" x14ac:dyDescent="0.25">
      <c r="B16" s="36">
        <v>7</v>
      </c>
      <c r="C16" s="36">
        <v>9</v>
      </c>
      <c r="D16" s="36">
        <v>12</v>
      </c>
      <c r="E16" s="36"/>
      <c r="F16" s="12">
        <v>7</v>
      </c>
      <c r="G16" s="4">
        <f t="shared" ca="1" si="3"/>
        <v>7</v>
      </c>
      <c r="H16" s="19">
        <f t="shared" ca="1" si="0"/>
        <v>9</v>
      </c>
      <c r="I16" s="69">
        <f t="shared" ca="1" si="0"/>
        <v>23</v>
      </c>
      <c r="J16" s="92"/>
      <c r="K16" s="97"/>
      <c r="L16" s="76"/>
      <c r="M16" s="98"/>
      <c r="N16" s="32" t="str">
        <f t="shared" si="4"/>
        <v/>
      </c>
      <c r="O16" s="15" t="str">
        <f t="shared" si="4"/>
        <v/>
      </c>
      <c r="P16" s="15" t="str">
        <f t="shared" si="4"/>
        <v/>
      </c>
      <c r="Q16" s="15" t="str">
        <f t="shared" si="4"/>
        <v/>
      </c>
      <c r="R16" s="15" t="str">
        <f t="shared" si="4"/>
        <v/>
      </c>
      <c r="S16" s="15" t="str">
        <f t="shared" si="4"/>
        <v/>
      </c>
      <c r="T16" s="15" t="str">
        <f t="shared" si="4"/>
        <v xml:space="preserve"> </v>
      </c>
      <c r="U16" s="15" t="str">
        <f t="shared" si="5"/>
        <v/>
      </c>
      <c r="V16" s="15" t="str">
        <f t="shared" si="5"/>
        <v xml:space="preserve"> </v>
      </c>
      <c r="W16" s="15" t="str">
        <f t="shared" si="5"/>
        <v/>
      </c>
      <c r="X16" s="15" t="str">
        <f t="shared" si="5"/>
        <v/>
      </c>
      <c r="Y16" s="15" t="str">
        <f t="shared" si="5"/>
        <v xml:space="preserve"> </v>
      </c>
      <c r="Z16" s="15" t="str">
        <f t="shared" si="5"/>
        <v/>
      </c>
      <c r="AA16" s="15" t="str">
        <f t="shared" si="5"/>
        <v/>
      </c>
      <c r="AB16" s="15" t="str">
        <f t="shared" si="5"/>
        <v/>
      </c>
      <c r="AC16" s="15" t="str">
        <f t="shared" si="5"/>
        <v/>
      </c>
      <c r="AD16" s="15" t="str">
        <f t="shared" si="5"/>
        <v/>
      </c>
      <c r="AE16" s="15" t="str">
        <f t="shared" si="5"/>
        <v/>
      </c>
      <c r="AF16" s="5" t="str">
        <f t="shared" si="5"/>
        <v/>
      </c>
    </row>
    <row r="17" spans="2:32" s="30" customFormat="1" ht="15.75" x14ac:dyDescent="0.25">
      <c r="B17" s="36">
        <v>8</v>
      </c>
      <c r="C17" s="36">
        <v>10</v>
      </c>
      <c r="D17" s="36">
        <v>13</v>
      </c>
      <c r="E17" s="36"/>
      <c r="F17" s="12">
        <v>8</v>
      </c>
      <c r="G17" s="4">
        <f t="shared" ca="1" si="3"/>
        <v>8</v>
      </c>
      <c r="H17" s="19">
        <f t="shared" ca="1" si="0"/>
        <v>13</v>
      </c>
      <c r="I17" s="69">
        <f t="shared" ca="1" si="0"/>
        <v>30</v>
      </c>
      <c r="J17" s="92"/>
      <c r="K17" s="97"/>
      <c r="L17" s="76"/>
      <c r="M17" s="98"/>
      <c r="N17" s="32" t="str">
        <f t="shared" si="4"/>
        <v/>
      </c>
      <c r="O17" s="15" t="str">
        <f t="shared" si="4"/>
        <v/>
      </c>
      <c r="P17" s="15" t="str">
        <f t="shared" si="4"/>
        <v/>
      </c>
      <c r="Q17" s="15" t="str">
        <f t="shared" si="4"/>
        <v/>
      </c>
      <c r="R17" s="15" t="str">
        <f t="shared" si="4"/>
        <v/>
      </c>
      <c r="S17" s="15" t="str">
        <f t="shared" si="4"/>
        <v/>
      </c>
      <c r="T17" s="15" t="str">
        <f t="shared" si="4"/>
        <v/>
      </c>
      <c r="U17" s="15" t="str">
        <f t="shared" si="5"/>
        <v xml:space="preserve"> </v>
      </c>
      <c r="V17" s="15" t="str">
        <f t="shared" si="5"/>
        <v/>
      </c>
      <c r="W17" s="15" t="str">
        <f t="shared" si="5"/>
        <v xml:space="preserve"> </v>
      </c>
      <c r="X17" s="15" t="str">
        <f t="shared" ref="U17:AF28" si="6">IF(ISNA(MATCH(COLUMN()-13,$B17:$E17,0)),"",IF($K17=MATCH(COLUMN()-13,$B17:$E17,0),3,IF($L17=MATCH(COLUMN()-13,$B17:$E17,0),2,IF($M17=MATCH(COLUMN()-13,$B17:$E17,0),1," "))))</f>
        <v/>
      </c>
      <c r="Y17" s="15" t="str">
        <f t="shared" si="6"/>
        <v/>
      </c>
      <c r="Z17" s="15" t="str">
        <f t="shared" si="6"/>
        <v xml:space="preserve"> </v>
      </c>
      <c r="AA17" s="15" t="str">
        <f t="shared" si="6"/>
        <v/>
      </c>
      <c r="AB17" s="15" t="str">
        <f t="shared" si="6"/>
        <v/>
      </c>
      <c r="AC17" s="15" t="str">
        <f t="shared" si="6"/>
        <v/>
      </c>
      <c r="AD17" s="15" t="str">
        <f t="shared" si="6"/>
        <v/>
      </c>
      <c r="AE17" s="15" t="str">
        <f t="shared" si="6"/>
        <v/>
      </c>
      <c r="AF17" s="5" t="str">
        <f t="shared" si="6"/>
        <v/>
      </c>
    </row>
    <row r="18" spans="2:32" s="30" customFormat="1" ht="15.75" x14ac:dyDescent="0.25">
      <c r="B18" s="36">
        <v>9</v>
      </c>
      <c r="C18" s="36">
        <v>11</v>
      </c>
      <c r="D18" s="36">
        <v>14</v>
      </c>
      <c r="E18" s="36"/>
      <c r="F18" s="12">
        <v>9</v>
      </c>
      <c r="G18" s="4">
        <f t="shared" ca="1" si="3"/>
        <v>9</v>
      </c>
      <c r="H18" s="19">
        <f t="shared" ca="1" si="0"/>
        <v>14</v>
      </c>
      <c r="I18" s="69">
        <f t="shared" ca="1" si="0"/>
        <v>37</v>
      </c>
      <c r="J18" s="92"/>
      <c r="K18" s="97"/>
      <c r="L18" s="76"/>
      <c r="M18" s="98"/>
      <c r="N18" s="32" t="str">
        <f t="shared" si="4"/>
        <v/>
      </c>
      <c r="O18" s="15" t="str">
        <f t="shared" si="4"/>
        <v/>
      </c>
      <c r="P18" s="15" t="str">
        <f t="shared" si="4"/>
        <v/>
      </c>
      <c r="Q18" s="15" t="str">
        <f t="shared" si="4"/>
        <v/>
      </c>
      <c r="R18" s="15" t="str">
        <f t="shared" si="4"/>
        <v/>
      </c>
      <c r="S18" s="15" t="str">
        <f t="shared" si="4"/>
        <v/>
      </c>
      <c r="T18" s="15" t="str">
        <f t="shared" si="4"/>
        <v/>
      </c>
      <c r="U18" s="15" t="str">
        <f t="shared" si="6"/>
        <v/>
      </c>
      <c r="V18" s="15" t="str">
        <f t="shared" si="6"/>
        <v xml:space="preserve"> </v>
      </c>
      <c r="W18" s="15" t="str">
        <f t="shared" si="6"/>
        <v/>
      </c>
      <c r="X18" s="15" t="str">
        <f t="shared" si="6"/>
        <v xml:space="preserve"> </v>
      </c>
      <c r="Y18" s="15" t="str">
        <f t="shared" si="6"/>
        <v/>
      </c>
      <c r="Z18" s="15" t="str">
        <f t="shared" si="6"/>
        <v/>
      </c>
      <c r="AA18" s="15" t="str">
        <f t="shared" si="6"/>
        <v xml:space="preserve"> </v>
      </c>
      <c r="AB18" s="15" t="str">
        <f t="shared" si="6"/>
        <v/>
      </c>
      <c r="AC18" s="15" t="str">
        <f t="shared" si="6"/>
        <v/>
      </c>
      <c r="AD18" s="15" t="str">
        <f t="shared" si="6"/>
        <v/>
      </c>
      <c r="AE18" s="15" t="str">
        <f t="shared" si="6"/>
        <v/>
      </c>
      <c r="AF18" s="5" t="str">
        <f t="shared" si="6"/>
        <v/>
      </c>
    </row>
    <row r="19" spans="2:32" s="30" customFormat="1" ht="15.75" x14ac:dyDescent="0.25">
      <c r="B19" s="36">
        <v>10</v>
      </c>
      <c r="C19" s="36">
        <v>12</v>
      </c>
      <c r="D19" s="36">
        <v>15</v>
      </c>
      <c r="E19" s="36"/>
      <c r="F19" s="12">
        <v>10</v>
      </c>
      <c r="G19" s="4">
        <f t="shared" ref="G19:G28" ca="1" si="7">INDIRECT(ADDRESS(B19+1,1,,,"Names"))</f>
        <v>13</v>
      </c>
      <c r="H19" s="19">
        <f t="shared" ref="H19:H28" ca="1" si="8">INDIRECT(ADDRESS(C19+1,1,,,"Names"))</f>
        <v>23</v>
      </c>
      <c r="I19" s="69">
        <f t="shared" ref="I19:I28" ca="1" si="9">INDIRECT(ADDRESS(D19+1,1,,,"Names"))</f>
        <v>49</v>
      </c>
      <c r="J19" s="92"/>
      <c r="K19" s="97"/>
      <c r="L19" s="76"/>
      <c r="M19" s="98"/>
      <c r="N19" s="32" t="str">
        <f t="shared" si="4"/>
        <v/>
      </c>
      <c r="O19" s="15" t="str">
        <f t="shared" si="4"/>
        <v/>
      </c>
      <c r="P19" s="15" t="str">
        <f t="shared" si="4"/>
        <v/>
      </c>
      <c r="Q19" s="15" t="str">
        <f t="shared" si="4"/>
        <v/>
      </c>
      <c r="R19" s="15" t="str">
        <f t="shared" si="4"/>
        <v/>
      </c>
      <c r="S19" s="15" t="str">
        <f t="shared" si="4"/>
        <v/>
      </c>
      <c r="T19" s="15" t="str">
        <f t="shared" si="4"/>
        <v/>
      </c>
      <c r="U19" s="15" t="str">
        <f t="shared" si="6"/>
        <v/>
      </c>
      <c r="V19" s="15" t="str">
        <f t="shared" si="6"/>
        <v/>
      </c>
      <c r="W19" s="15" t="str">
        <f t="shared" si="6"/>
        <v xml:space="preserve"> </v>
      </c>
      <c r="X19" s="15" t="str">
        <f t="shared" si="6"/>
        <v/>
      </c>
      <c r="Y19" s="15" t="str">
        <f t="shared" si="6"/>
        <v xml:space="preserve"> </v>
      </c>
      <c r="Z19" s="15" t="str">
        <f t="shared" si="6"/>
        <v/>
      </c>
      <c r="AA19" s="15" t="str">
        <f t="shared" si="6"/>
        <v/>
      </c>
      <c r="AB19" s="15" t="str">
        <f t="shared" si="6"/>
        <v xml:space="preserve"> </v>
      </c>
      <c r="AC19" s="15" t="str">
        <f t="shared" si="6"/>
        <v/>
      </c>
      <c r="AD19" s="15" t="str">
        <f t="shared" si="6"/>
        <v/>
      </c>
      <c r="AE19" s="15" t="str">
        <f t="shared" si="6"/>
        <v/>
      </c>
      <c r="AF19" s="5" t="str">
        <f t="shared" si="6"/>
        <v/>
      </c>
    </row>
    <row r="20" spans="2:32" s="30" customFormat="1" ht="15.75" x14ac:dyDescent="0.25">
      <c r="B20" s="36">
        <v>11</v>
      </c>
      <c r="C20" s="36">
        <v>13</v>
      </c>
      <c r="D20" s="36">
        <v>16</v>
      </c>
      <c r="E20" s="36"/>
      <c r="F20" s="12">
        <v>11</v>
      </c>
      <c r="G20" s="4">
        <f t="shared" ca="1" si="7"/>
        <v>14</v>
      </c>
      <c r="H20" s="19">
        <f t="shared" ca="1" si="8"/>
        <v>30</v>
      </c>
      <c r="I20" s="69">
        <f t="shared" ca="1" si="9"/>
        <v>99</v>
      </c>
      <c r="J20" s="92"/>
      <c r="K20" s="97"/>
      <c r="L20" s="76"/>
      <c r="M20" s="98"/>
      <c r="N20" s="32" t="str">
        <f t="shared" si="4"/>
        <v/>
      </c>
      <c r="O20" s="15" t="str">
        <f t="shared" si="4"/>
        <v/>
      </c>
      <c r="P20" s="15" t="str">
        <f t="shared" si="4"/>
        <v/>
      </c>
      <c r="Q20" s="15" t="str">
        <f t="shared" si="4"/>
        <v/>
      </c>
      <c r="R20" s="15" t="str">
        <f t="shared" si="4"/>
        <v/>
      </c>
      <c r="S20" s="15" t="str">
        <f t="shared" si="4"/>
        <v/>
      </c>
      <c r="T20" s="15" t="str">
        <f t="shared" si="4"/>
        <v/>
      </c>
      <c r="U20" s="15" t="str">
        <f t="shared" si="6"/>
        <v/>
      </c>
      <c r="V20" s="15" t="str">
        <f t="shared" si="6"/>
        <v/>
      </c>
      <c r="W20" s="15" t="str">
        <f t="shared" si="6"/>
        <v/>
      </c>
      <c r="X20" s="15" t="str">
        <f t="shared" si="6"/>
        <v xml:space="preserve"> </v>
      </c>
      <c r="Y20" s="15" t="str">
        <f t="shared" si="6"/>
        <v/>
      </c>
      <c r="Z20" s="15" t="str">
        <f t="shared" si="6"/>
        <v xml:space="preserve"> </v>
      </c>
      <c r="AA20" s="15" t="str">
        <f t="shared" si="6"/>
        <v/>
      </c>
      <c r="AB20" s="15" t="str">
        <f t="shared" si="6"/>
        <v/>
      </c>
      <c r="AC20" s="15" t="str">
        <f t="shared" si="6"/>
        <v xml:space="preserve"> </v>
      </c>
      <c r="AD20" s="15" t="str">
        <f t="shared" si="6"/>
        <v/>
      </c>
      <c r="AE20" s="15" t="str">
        <f t="shared" si="6"/>
        <v/>
      </c>
      <c r="AF20" s="5" t="str">
        <f t="shared" si="6"/>
        <v/>
      </c>
    </row>
    <row r="21" spans="2:32" s="30" customFormat="1" ht="15.75" x14ac:dyDescent="0.25">
      <c r="B21" s="36">
        <v>12</v>
      </c>
      <c r="C21" s="36">
        <v>14</v>
      </c>
      <c r="D21" s="36">
        <v>17</v>
      </c>
      <c r="E21" s="36"/>
      <c r="F21" s="12">
        <v>12</v>
      </c>
      <c r="G21" s="4">
        <f t="shared" ca="1" si="7"/>
        <v>23</v>
      </c>
      <c r="H21" s="19">
        <f t="shared" ca="1" si="8"/>
        <v>37</v>
      </c>
      <c r="I21" s="69">
        <f t="shared" ca="1" si="9"/>
        <v>0</v>
      </c>
      <c r="J21" s="92"/>
      <c r="K21" s="97"/>
      <c r="L21" s="76"/>
      <c r="M21" s="98"/>
      <c r="N21" s="32" t="str">
        <f t="shared" si="4"/>
        <v/>
      </c>
      <c r="O21" s="15" t="str">
        <f t="shared" si="4"/>
        <v/>
      </c>
      <c r="P21" s="15" t="str">
        <f t="shared" si="4"/>
        <v/>
      </c>
      <c r="Q21" s="15" t="str">
        <f t="shared" si="4"/>
        <v/>
      </c>
      <c r="R21" s="15" t="str">
        <f t="shared" si="4"/>
        <v/>
      </c>
      <c r="S21" s="15" t="str">
        <f t="shared" si="4"/>
        <v/>
      </c>
      <c r="T21" s="15" t="str">
        <f t="shared" si="4"/>
        <v/>
      </c>
      <c r="U21" s="15" t="str">
        <f t="shared" si="6"/>
        <v/>
      </c>
      <c r="V21" s="15" t="str">
        <f t="shared" si="6"/>
        <v/>
      </c>
      <c r="W21" s="15" t="str">
        <f t="shared" si="6"/>
        <v/>
      </c>
      <c r="X21" s="15" t="str">
        <f t="shared" si="6"/>
        <v/>
      </c>
      <c r="Y21" s="15" t="str">
        <f t="shared" si="6"/>
        <v xml:space="preserve"> </v>
      </c>
      <c r="Z21" s="15" t="str">
        <f t="shared" si="6"/>
        <v/>
      </c>
      <c r="AA21" s="15" t="str">
        <f t="shared" si="6"/>
        <v xml:space="preserve"> </v>
      </c>
      <c r="AB21" s="15" t="str">
        <f t="shared" si="6"/>
        <v/>
      </c>
      <c r="AC21" s="15" t="str">
        <f t="shared" si="6"/>
        <v/>
      </c>
      <c r="AD21" s="15" t="str">
        <f t="shared" si="6"/>
        <v xml:space="preserve"> </v>
      </c>
      <c r="AE21" s="15" t="str">
        <f t="shared" si="6"/>
        <v/>
      </c>
      <c r="AF21" s="5" t="str">
        <f t="shared" si="6"/>
        <v/>
      </c>
    </row>
    <row r="22" spans="2:32" s="30" customFormat="1" ht="15.75" x14ac:dyDescent="0.25">
      <c r="B22" s="36">
        <v>13</v>
      </c>
      <c r="C22" s="36">
        <v>15</v>
      </c>
      <c r="D22" s="36">
        <v>18</v>
      </c>
      <c r="E22" s="36"/>
      <c r="F22" s="12">
        <v>13</v>
      </c>
      <c r="G22" s="4">
        <f t="shared" ca="1" si="7"/>
        <v>30</v>
      </c>
      <c r="H22" s="19">
        <f t="shared" ca="1" si="8"/>
        <v>49</v>
      </c>
      <c r="I22" s="69">
        <f t="shared" ca="1" si="9"/>
        <v>0</v>
      </c>
      <c r="J22" s="92"/>
      <c r="K22" s="97"/>
      <c r="L22" s="76"/>
      <c r="M22" s="98"/>
      <c r="N22" s="32" t="str">
        <f t="shared" si="4"/>
        <v/>
      </c>
      <c r="O22" s="15" t="str">
        <f t="shared" si="4"/>
        <v/>
      </c>
      <c r="P22" s="15" t="str">
        <f t="shared" si="4"/>
        <v/>
      </c>
      <c r="Q22" s="15" t="str">
        <f t="shared" si="4"/>
        <v/>
      </c>
      <c r="R22" s="15" t="str">
        <f t="shared" si="4"/>
        <v/>
      </c>
      <c r="S22" s="15" t="str">
        <f t="shared" si="4"/>
        <v/>
      </c>
      <c r="T22" s="15" t="str">
        <f t="shared" si="4"/>
        <v/>
      </c>
      <c r="U22" s="15" t="str">
        <f t="shared" si="6"/>
        <v/>
      </c>
      <c r="V22" s="15" t="str">
        <f t="shared" si="6"/>
        <v/>
      </c>
      <c r="W22" s="15" t="str">
        <f t="shared" si="6"/>
        <v/>
      </c>
      <c r="X22" s="15" t="str">
        <f t="shared" si="6"/>
        <v/>
      </c>
      <c r="Y22" s="15" t="str">
        <f t="shared" si="6"/>
        <v/>
      </c>
      <c r="Z22" s="15" t="str">
        <f t="shared" si="6"/>
        <v xml:space="preserve"> </v>
      </c>
      <c r="AA22" s="15" t="str">
        <f t="shared" si="6"/>
        <v/>
      </c>
      <c r="AB22" s="15" t="str">
        <f t="shared" si="6"/>
        <v xml:space="preserve"> </v>
      </c>
      <c r="AC22" s="15" t="str">
        <f t="shared" si="6"/>
        <v/>
      </c>
      <c r="AD22" s="15" t="str">
        <f t="shared" si="6"/>
        <v/>
      </c>
      <c r="AE22" s="15" t="str">
        <f t="shared" si="6"/>
        <v xml:space="preserve"> </v>
      </c>
      <c r="AF22" s="5" t="str">
        <f t="shared" si="6"/>
        <v/>
      </c>
    </row>
    <row r="23" spans="2:32" s="30" customFormat="1" ht="15.75" x14ac:dyDescent="0.25">
      <c r="B23" s="36">
        <v>14</v>
      </c>
      <c r="C23" s="36">
        <v>16</v>
      </c>
      <c r="D23" s="36">
        <v>19</v>
      </c>
      <c r="E23" s="36"/>
      <c r="F23" s="12">
        <v>14</v>
      </c>
      <c r="G23" s="4">
        <f t="shared" ca="1" si="7"/>
        <v>37</v>
      </c>
      <c r="H23" s="19">
        <f t="shared" ca="1" si="8"/>
        <v>99</v>
      </c>
      <c r="I23" s="69">
        <f t="shared" ca="1" si="9"/>
        <v>0</v>
      </c>
      <c r="J23" s="92"/>
      <c r="K23" s="97"/>
      <c r="L23" s="76"/>
      <c r="M23" s="98"/>
      <c r="N23" s="32" t="str">
        <f t="shared" si="4"/>
        <v/>
      </c>
      <c r="O23" s="15" t="str">
        <f t="shared" si="4"/>
        <v/>
      </c>
      <c r="P23" s="15" t="str">
        <f t="shared" si="4"/>
        <v/>
      </c>
      <c r="Q23" s="15" t="str">
        <f t="shared" si="4"/>
        <v/>
      </c>
      <c r="R23" s="15" t="str">
        <f t="shared" si="4"/>
        <v/>
      </c>
      <c r="S23" s="15" t="str">
        <f t="shared" si="4"/>
        <v/>
      </c>
      <c r="T23" s="15" t="str">
        <f t="shared" si="4"/>
        <v/>
      </c>
      <c r="U23" s="15" t="str">
        <f t="shared" si="6"/>
        <v/>
      </c>
      <c r="V23" s="15" t="str">
        <f t="shared" si="6"/>
        <v/>
      </c>
      <c r="W23" s="15" t="str">
        <f t="shared" si="6"/>
        <v/>
      </c>
      <c r="X23" s="15" t="str">
        <f t="shared" si="6"/>
        <v/>
      </c>
      <c r="Y23" s="15" t="str">
        <f t="shared" si="6"/>
        <v/>
      </c>
      <c r="Z23" s="15" t="str">
        <f t="shared" si="6"/>
        <v/>
      </c>
      <c r="AA23" s="15" t="str">
        <f t="shared" si="6"/>
        <v xml:space="preserve"> </v>
      </c>
      <c r="AB23" s="15" t="str">
        <f t="shared" si="6"/>
        <v/>
      </c>
      <c r="AC23" s="15" t="str">
        <f t="shared" si="6"/>
        <v xml:space="preserve"> </v>
      </c>
      <c r="AD23" s="15" t="str">
        <f t="shared" si="6"/>
        <v/>
      </c>
      <c r="AE23" s="15" t="str">
        <f t="shared" si="6"/>
        <v/>
      </c>
      <c r="AF23" s="5" t="str">
        <f t="shared" si="6"/>
        <v xml:space="preserve"> </v>
      </c>
    </row>
    <row r="24" spans="2:32" s="30" customFormat="1" ht="15.75" x14ac:dyDescent="0.25">
      <c r="B24" s="36">
        <v>15</v>
      </c>
      <c r="C24" s="36">
        <v>17</v>
      </c>
      <c r="D24" s="36">
        <v>1</v>
      </c>
      <c r="E24" s="36"/>
      <c r="F24" s="12">
        <v>15</v>
      </c>
      <c r="G24" s="4">
        <f t="shared" ca="1" si="7"/>
        <v>49</v>
      </c>
      <c r="H24" s="19">
        <f t="shared" ca="1" si="8"/>
        <v>0</v>
      </c>
      <c r="I24" s="69">
        <f t="shared" ca="1" si="9"/>
        <v>1</v>
      </c>
      <c r="J24" s="92"/>
      <c r="K24" s="97"/>
      <c r="L24" s="76"/>
      <c r="M24" s="98"/>
      <c r="N24" s="32" t="str">
        <f t="shared" si="4"/>
        <v xml:space="preserve"> </v>
      </c>
      <c r="O24" s="15" t="str">
        <f t="shared" si="4"/>
        <v/>
      </c>
      <c r="P24" s="15" t="str">
        <f t="shared" si="4"/>
        <v/>
      </c>
      <c r="Q24" s="15" t="str">
        <f t="shared" si="4"/>
        <v/>
      </c>
      <c r="R24" s="15" t="str">
        <f t="shared" si="4"/>
        <v/>
      </c>
      <c r="S24" s="15" t="str">
        <f t="shared" si="4"/>
        <v/>
      </c>
      <c r="T24" s="15" t="str">
        <f t="shared" si="4"/>
        <v/>
      </c>
      <c r="U24" s="15" t="str">
        <f t="shared" si="6"/>
        <v/>
      </c>
      <c r="V24" s="15" t="str">
        <f t="shared" si="6"/>
        <v/>
      </c>
      <c r="W24" s="15" t="str">
        <f t="shared" si="6"/>
        <v/>
      </c>
      <c r="X24" s="15" t="str">
        <f t="shared" si="6"/>
        <v/>
      </c>
      <c r="Y24" s="15" t="str">
        <f t="shared" si="6"/>
        <v/>
      </c>
      <c r="Z24" s="15" t="str">
        <f t="shared" si="6"/>
        <v/>
      </c>
      <c r="AA24" s="15" t="str">
        <f t="shared" si="6"/>
        <v/>
      </c>
      <c r="AB24" s="15" t="str">
        <f t="shared" si="6"/>
        <v xml:space="preserve"> </v>
      </c>
      <c r="AC24" s="15" t="str">
        <f t="shared" si="6"/>
        <v/>
      </c>
      <c r="AD24" s="15" t="str">
        <f t="shared" si="6"/>
        <v xml:space="preserve"> </v>
      </c>
      <c r="AE24" s="15" t="str">
        <f t="shared" si="6"/>
        <v/>
      </c>
      <c r="AF24" s="5" t="str">
        <f t="shared" si="6"/>
        <v/>
      </c>
    </row>
    <row r="25" spans="2:32" s="30" customFormat="1" ht="15.75" x14ac:dyDescent="0.25">
      <c r="B25" s="36">
        <v>16</v>
      </c>
      <c r="C25" s="36">
        <v>18</v>
      </c>
      <c r="D25" s="36">
        <v>2</v>
      </c>
      <c r="E25" s="36"/>
      <c r="F25" s="12">
        <v>16</v>
      </c>
      <c r="G25" s="4">
        <f t="shared" ca="1" si="7"/>
        <v>99</v>
      </c>
      <c r="H25" s="19">
        <f t="shared" ca="1" si="8"/>
        <v>0</v>
      </c>
      <c r="I25" s="69">
        <f t="shared" ca="1" si="9"/>
        <v>2</v>
      </c>
      <c r="J25" s="92"/>
      <c r="K25" s="97"/>
      <c r="L25" s="76"/>
      <c r="M25" s="98"/>
      <c r="N25" s="32" t="str">
        <f t="shared" si="4"/>
        <v/>
      </c>
      <c r="O25" s="15" t="str">
        <f t="shared" si="4"/>
        <v xml:space="preserve"> </v>
      </c>
      <c r="P25" s="15" t="str">
        <f t="shared" si="4"/>
        <v/>
      </c>
      <c r="Q25" s="15" t="str">
        <f t="shared" si="4"/>
        <v/>
      </c>
      <c r="R25" s="15" t="str">
        <f t="shared" si="4"/>
        <v/>
      </c>
      <c r="S25" s="15" t="str">
        <f t="shared" si="4"/>
        <v/>
      </c>
      <c r="T25" s="15" t="str">
        <f t="shared" si="4"/>
        <v/>
      </c>
      <c r="U25" s="15" t="str">
        <f t="shared" si="6"/>
        <v/>
      </c>
      <c r="V25" s="15" t="str">
        <f t="shared" si="6"/>
        <v/>
      </c>
      <c r="W25" s="15" t="str">
        <f t="shared" si="6"/>
        <v/>
      </c>
      <c r="X25" s="15" t="str">
        <f t="shared" si="6"/>
        <v/>
      </c>
      <c r="Y25" s="15" t="str">
        <f t="shared" si="6"/>
        <v/>
      </c>
      <c r="Z25" s="15" t="str">
        <f t="shared" si="6"/>
        <v/>
      </c>
      <c r="AA25" s="15" t="str">
        <f t="shared" si="6"/>
        <v/>
      </c>
      <c r="AB25" s="15" t="str">
        <f t="shared" si="6"/>
        <v/>
      </c>
      <c r="AC25" s="15" t="str">
        <f t="shared" si="6"/>
        <v xml:space="preserve"> </v>
      </c>
      <c r="AD25" s="15" t="str">
        <f t="shared" si="6"/>
        <v/>
      </c>
      <c r="AE25" s="15" t="str">
        <f t="shared" si="6"/>
        <v xml:space="preserve"> </v>
      </c>
      <c r="AF25" s="5" t="str">
        <f t="shared" si="6"/>
        <v/>
      </c>
    </row>
    <row r="26" spans="2:32" s="30" customFormat="1" ht="15.75" x14ac:dyDescent="0.25">
      <c r="B26" s="36">
        <v>17</v>
      </c>
      <c r="C26" s="36">
        <v>19</v>
      </c>
      <c r="D26" s="36">
        <v>3</v>
      </c>
      <c r="E26" s="36"/>
      <c r="F26" s="12">
        <v>17</v>
      </c>
      <c r="G26" s="4">
        <f t="shared" ca="1" si="7"/>
        <v>0</v>
      </c>
      <c r="H26" s="19">
        <f t="shared" ca="1" si="8"/>
        <v>0</v>
      </c>
      <c r="I26" s="69">
        <f t="shared" ca="1" si="9"/>
        <v>3</v>
      </c>
      <c r="J26" s="92"/>
      <c r="K26" s="97"/>
      <c r="L26" s="76"/>
      <c r="M26" s="98"/>
      <c r="N26" s="32" t="str">
        <f t="shared" si="4"/>
        <v/>
      </c>
      <c r="O26" s="15" t="str">
        <f t="shared" si="4"/>
        <v/>
      </c>
      <c r="P26" s="15" t="str">
        <f t="shared" si="4"/>
        <v xml:space="preserve"> </v>
      </c>
      <c r="Q26" s="15" t="str">
        <f t="shared" si="4"/>
        <v/>
      </c>
      <c r="R26" s="15" t="str">
        <f t="shared" si="4"/>
        <v/>
      </c>
      <c r="S26" s="15" t="str">
        <f t="shared" si="4"/>
        <v/>
      </c>
      <c r="T26" s="15" t="str">
        <f t="shared" si="4"/>
        <v/>
      </c>
      <c r="U26" s="15" t="str">
        <f t="shared" si="6"/>
        <v/>
      </c>
      <c r="V26" s="15" t="str">
        <f t="shared" si="6"/>
        <v/>
      </c>
      <c r="W26" s="15" t="str">
        <f t="shared" si="6"/>
        <v/>
      </c>
      <c r="X26" s="15" t="str">
        <f t="shared" si="6"/>
        <v/>
      </c>
      <c r="Y26" s="15" t="str">
        <f t="shared" si="6"/>
        <v/>
      </c>
      <c r="Z26" s="15" t="str">
        <f t="shared" si="6"/>
        <v/>
      </c>
      <c r="AA26" s="15" t="str">
        <f t="shared" si="6"/>
        <v/>
      </c>
      <c r="AB26" s="15" t="str">
        <f t="shared" si="6"/>
        <v/>
      </c>
      <c r="AC26" s="15" t="str">
        <f t="shared" si="6"/>
        <v/>
      </c>
      <c r="AD26" s="15" t="str">
        <f t="shared" si="6"/>
        <v xml:space="preserve"> </v>
      </c>
      <c r="AE26" s="15" t="str">
        <f t="shared" si="6"/>
        <v/>
      </c>
      <c r="AF26" s="5" t="str">
        <f t="shared" si="6"/>
        <v xml:space="preserve"> </v>
      </c>
    </row>
    <row r="27" spans="2:32" s="30" customFormat="1" ht="15.75" x14ac:dyDescent="0.25">
      <c r="B27" s="36">
        <v>18</v>
      </c>
      <c r="C27" s="36">
        <v>1</v>
      </c>
      <c r="D27" s="36">
        <v>4</v>
      </c>
      <c r="E27" s="36"/>
      <c r="F27" s="12">
        <v>18</v>
      </c>
      <c r="G27" s="4">
        <f t="shared" ca="1" si="7"/>
        <v>0</v>
      </c>
      <c r="H27" s="19">
        <f t="shared" ca="1" si="8"/>
        <v>1</v>
      </c>
      <c r="I27" s="69">
        <f t="shared" ca="1" si="9"/>
        <v>4</v>
      </c>
      <c r="J27" s="92"/>
      <c r="K27" s="97"/>
      <c r="L27" s="76"/>
      <c r="M27" s="98"/>
      <c r="N27" s="32" t="str">
        <f t="shared" si="4"/>
        <v xml:space="preserve"> </v>
      </c>
      <c r="O27" s="15" t="str">
        <f t="shared" si="4"/>
        <v/>
      </c>
      <c r="P27" s="15" t="str">
        <f t="shared" si="4"/>
        <v/>
      </c>
      <c r="Q27" s="15" t="str">
        <f t="shared" si="4"/>
        <v xml:space="preserve"> </v>
      </c>
      <c r="R27" s="15" t="str">
        <f t="shared" si="4"/>
        <v/>
      </c>
      <c r="S27" s="15" t="str">
        <f t="shared" si="4"/>
        <v/>
      </c>
      <c r="T27" s="15" t="str">
        <f t="shared" si="4"/>
        <v/>
      </c>
      <c r="U27" s="15" t="str">
        <f t="shared" si="6"/>
        <v/>
      </c>
      <c r="V27" s="15" t="str">
        <f t="shared" si="6"/>
        <v/>
      </c>
      <c r="W27" s="15" t="str">
        <f t="shared" si="6"/>
        <v/>
      </c>
      <c r="X27" s="15" t="str">
        <f t="shared" si="6"/>
        <v/>
      </c>
      <c r="Y27" s="15" t="str">
        <f t="shared" si="6"/>
        <v/>
      </c>
      <c r="Z27" s="15" t="str">
        <f t="shared" si="6"/>
        <v/>
      </c>
      <c r="AA27" s="15" t="str">
        <f t="shared" si="6"/>
        <v/>
      </c>
      <c r="AB27" s="15" t="str">
        <f t="shared" si="6"/>
        <v/>
      </c>
      <c r="AC27" s="15" t="str">
        <f t="shared" si="6"/>
        <v/>
      </c>
      <c r="AD27" s="15" t="str">
        <f t="shared" si="6"/>
        <v/>
      </c>
      <c r="AE27" s="15" t="str">
        <f t="shared" si="6"/>
        <v xml:space="preserve"> </v>
      </c>
      <c r="AF27" s="5" t="str">
        <f t="shared" si="6"/>
        <v/>
      </c>
    </row>
    <row r="28" spans="2:32" s="30" customFormat="1" ht="16.5" thickBot="1" x14ac:dyDescent="0.3">
      <c r="B28" s="36">
        <v>19</v>
      </c>
      <c r="C28" s="36">
        <v>2</v>
      </c>
      <c r="D28" s="36">
        <v>5</v>
      </c>
      <c r="E28" s="36"/>
      <c r="F28" s="13">
        <v>19</v>
      </c>
      <c r="G28" s="6">
        <f t="shared" ca="1" si="7"/>
        <v>0</v>
      </c>
      <c r="H28" s="39">
        <f t="shared" ca="1" si="8"/>
        <v>2</v>
      </c>
      <c r="I28" s="40">
        <f t="shared" ca="1" si="9"/>
        <v>5</v>
      </c>
      <c r="J28" s="93"/>
      <c r="K28" s="99"/>
      <c r="L28" s="100"/>
      <c r="M28" s="101"/>
      <c r="N28" s="20" t="str">
        <f t="shared" si="4"/>
        <v/>
      </c>
      <c r="O28" s="16" t="str">
        <f t="shared" si="4"/>
        <v xml:space="preserve"> </v>
      </c>
      <c r="P28" s="16" t="str">
        <f t="shared" ref="P28:T28" si="10">IF(ISNA(MATCH(COLUMN()-13,$B28:$E28,0)),"",IF($K28=MATCH(COLUMN()-13,$B28:$E28,0),3,IF($L28=MATCH(COLUMN()-13,$B28:$E28,0),2,IF($M28=MATCH(COLUMN()-13,$B28:$E28,0),1," "))))</f>
        <v/>
      </c>
      <c r="Q28" s="16" t="str">
        <f t="shared" si="10"/>
        <v/>
      </c>
      <c r="R28" s="16" t="str">
        <f t="shared" si="10"/>
        <v xml:space="preserve"> </v>
      </c>
      <c r="S28" s="16" t="str">
        <f t="shared" si="10"/>
        <v/>
      </c>
      <c r="T28" s="16" t="str">
        <f t="shared" si="10"/>
        <v/>
      </c>
      <c r="U28" s="16" t="str">
        <f t="shared" si="6"/>
        <v/>
      </c>
      <c r="V28" s="16" t="str">
        <f t="shared" si="6"/>
        <v/>
      </c>
      <c r="W28" s="16" t="str">
        <f t="shared" si="6"/>
        <v/>
      </c>
      <c r="X28" s="16" t="str">
        <f t="shared" si="6"/>
        <v/>
      </c>
      <c r="Y28" s="16" t="str">
        <f t="shared" si="6"/>
        <v/>
      </c>
      <c r="Z28" s="16" t="str">
        <f t="shared" si="6"/>
        <v/>
      </c>
      <c r="AA28" s="16" t="str">
        <f t="shared" si="6"/>
        <v/>
      </c>
      <c r="AB28" s="16" t="str">
        <f t="shared" si="6"/>
        <v/>
      </c>
      <c r="AC28" s="16" t="str">
        <f t="shared" si="6"/>
        <v/>
      </c>
      <c r="AD28" s="16" t="str">
        <f t="shared" si="6"/>
        <v/>
      </c>
      <c r="AE28" s="16" t="str">
        <f t="shared" si="6"/>
        <v/>
      </c>
      <c r="AF28" s="43" t="str">
        <f t="shared" si="6"/>
        <v xml:space="preserve"> </v>
      </c>
    </row>
    <row r="29" spans="2:32" ht="15.75" x14ac:dyDescent="0.25">
      <c r="K29" s="151" t="s">
        <v>4</v>
      </c>
      <c r="L29" s="152"/>
      <c r="M29" s="153"/>
      <c r="N29" s="102" t="str">
        <f t="shared" ref="N29:AB29" si="11">IF(SUM(N10:N28)&lt;1," ",SUM(N10:N28))</f>
        <v xml:space="preserve"> </v>
      </c>
      <c r="O29" s="103" t="str">
        <f t="shared" si="11"/>
        <v xml:space="preserve"> </v>
      </c>
      <c r="P29" s="103" t="str">
        <f t="shared" si="11"/>
        <v xml:space="preserve"> </v>
      </c>
      <c r="Q29" s="103" t="str">
        <f t="shared" si="11"/>
        <v xml:space="preserve"> </v>
      </c>
      <c r="R29" s="103" t="str">
        <f t="shared" si="11"/>
        <v xml:space="preserve"> </v>
      </c>
      <c r="S29" s="103" t="str">
        <f t="shared" si="11"/>
        <v xml:space="preserve"> </v>
      </c>
      <c r="T29" s="103" t="str">
        <f t="shared" si="11"/>
        <v xml:space="preserve"> </v>
      </c>
      <c r="U29" s="103" t="str">
        <f t="shared" si="11"/>
        <v xml:space="preserve"> </v>
      </c>
      <c r="V29" s="103" t="str">
        <f t="shared" si="11"/>
        <v xml:space="preserve"> </v>
      </c>
      <c r="W29" s="103" t="str">
        <f t="shared" si="11"/>
        <v xml:space="preserve"> </v>
      </c>
      <c r="X29" s="103" t="str">
        <f t="shared" si="11"/>
        <v xml:space="preserve"> </v>
      </c>
      <c r="Y29" s="103" t="str">
        <f t="shared" si="11"/>
        <v xml:space="preserve"> </v>
      </c>
      <c r="Z29" s="103" t="str">
        <f t="shared" si="11"/>
        <v xml:space="preserve"> </v>
      </c>
      <c r="AA29" s="103" t="str">
        <f t="shared" si="11"/>
        <v xml:space="preserve"> </v>
      </c>
      <c r="AB29" s="45" t="str">
        <f t="shared" si="11"/>
        <v xml:space="preserve"> </v>
      </c>
      <c r="AC29" s="45" t="str">
        <f t="shared" ref="AC29:AD29" si="12">IF(SUM(AC10:AC28)&lt;1," ",SUM(AC10:AC28))</f>
        <v xml:space="preserve"> </v>
      </c>
      <c r="AD29" s="45" t="str">
        <f t="shared" si="12"/>
        <v xml:space="preserve"> </v>
      </c>
      <c r="AE29" s="45" t="str">
        <f t="shared" ref="AE29:AF29" si="13">IF(SUM(AE10:AE28)&lt;1," ",SUM(AE10:AE28))</f>
        <v xml:space="preserve"> </v>
      </c>
      <c r="AF29" s="46" t="str">
        <f t="shared" si="13"/>
        <v xml:space="preserve"> </v>
      </c>
    </row>
    <row r="30" spans="2:32" ht="16.5" thickBot="1" x14ac:dyDescent="0.3">
      <c r="K30" s="141" t="s">
        <v>5</v>
      </c>
      <c r="L30" s="142"/>
      <c r="M30" s="143"/>
      <c r="N30" s="120" t="e">
        <f>RANK(N29,$N29:$AL29,0)</f>
        <v>#VALUE!</v>
      </c>
      <c r="O30" s="121" t="e">
        <f t="shared" ref="O30:AF30" si="14">RANK(O29,$N29:$AL29,0)</f>
        <v>#VALUE!</v>
      </c>
      <c r="P30" s="121" t="e">
        <f t="shared" si="14"/>
        <v>#VALUE!</v>
      </c>
      <c r="Q30" s="121" t="e">
        <f t="shared" si="14"/>
        <v>#VALUE!</v>
      </c>
      <c r="R30" s="121" t="e">
        <f t="shared" si="14"/>
        <v>#VALUE!</v>
      </c>
      <c r="S30" s="121" t="e">
        <f t="shared" si="14"/>
        <v>#VALUE!</v>
      </c>
      <c r="T30" s="121" t="e">
        <f t="shared" si="14"/>
        <v>#VALUE!</v>
      </c>
      <c r="U30" s="121" t="e">
        <f t="shared" si="14"/>
        <v>#VALUE!</v>
      </c>
      <c r="V30" s="121" t="e">
        <f t="shared" si="14"/>
        <v>#VALUE!</v>
      </c>
      <c r="W30" s="121" t="e">
        <f t="shared" si="14"/>
        <v>#VALUE!</v>
      </c>
      <c r="X30" s="121" t="e">
        <f t="shared" si="14"/>
        <v>#VALUE!</v>
      </c>
      <c r="Y30" s="121" t="e">
        <f t="shared" si="14"/>
        <v>#VALUE!</v>
      </c>
      <c r="Z30" s="121" t="e">
        <f t="shared" si="14"/>
        <v>#VALUE!</v>
      </c>
      <c r="AA30" s="121" t="e">
        <f t="shared" si="14"/>
        <v>#VALUE!</v>
      </c>
      <c r="AB30" s="121" t="e">
        <f t="shared" si="14"/>
        <v>#VALUE!</v>
      </c>
      <c r="AC30" s="121" t="e">
        <f t="shared" si="14"/>
        <v>#VALUE!</v>
      </c>
      <c r="AD30" s="121" t="e">
        <f t="shared" si="14"/>
        <v>#VALUE!</v>
      </c>
      <c r="AE30" s="121" t="e">
        <f t="shared" si="14"/>
        <v>#VALUE!</v>
      </c>
      <c r="AF30" s="122" t="e">
        <f t="shared" si="14"/>
        <v>#VALUE!</v>
      </c>
    </row>
    <row r="31" spans="2:32" x14ac:dyDescent="0.2">
      <c r="N31" s="7"/>
      <c r="O31" s="7"/>
      <c r="P31" s="7"/>
      <c r="Q31" s="7"/>
    </row>
    <row r="32" spans="2:32" s="31" customFormat="1" ht="135.75" customHeight="1" x14ac:dyDescent="0.2">
      <c r="N32" s="8" t="str">
        <f>+Names!$B$2</f>
        <v>Luke</v>
      </c>
      <c r="O32" s="8" t="str">
        <f>+Names!$B$3</f>
        <v>Ro</v>
      </c>
      <c r="P32" s="8" t="str">
        <f>+Names!$B$4</f>
        <v>Caleb</v>
      </c>
      <c r="Q32" s="8" t="str">
        <f>+Names!$B$5</f>
        <v>Zau</v>
      </c>
      <c r="R32" s="8" t="str">
        <f>+Names!$B$6</f>
        <v>Brady</v>
      </c>
      <c r="S32" s="8" t="str">
        <f>+Names!$B$7</f>
        <v>Theo</v>
      </c>
      <c r="T32" s="8" t="str">
        <f>+Names!$B$8</f>
        <v>Jonathan</v>
      </c>
      <c r="U32" s="8" t="str">
        <f>+Names!$B$9</f>
        <v>Brenton</v>
      </c>
      <c r="V32" s="8" t="str">
        <f>+Names!$B$10</f>
        <v>Jospe</v>
      </c>
      <c r="W32" s="8" t="str">
        <f>+Names!$B$11</f>
        <v>Emery</v>
      </c>
      <c r="X32" s="8" t="str">
        <f>+Names!$B$12</f>
        <v>Isaac</v>
      </c>
      <c r="Y32" s="8" t="str">
        <f>+Names!$B$13</f>
        <v>Alain</v>
      </c>
      <c r="Z32" s="8" t="str">
        <f>+Names!$B$14</f>
        <v>Silas</v>
      </c>
      <c r="AA32" s="8" t="str">
        <f>+Names!$B$15</f>
        <v>De</v>
      </c>
      <c r="AB32" s="8">
        <f>+Names!$B$19</f>
        <v>0</v>
      </c>
      <c r="AC32" s="8">
        <f>+Names!$B$20</f>
        <v>0</v>
      </c>
      <c r="AD32" s="8">
        <f>+Names!$B$18</f>
        <v>0</v>
      </c>
      <c r="AE32" s="8" t="e">
        <f>+Names!#REF!</f>
        <v>#REF!</v>
      </c>
      <c r="AF32" s="8" t="e">
        <f>+Names!#REF!</f>
        <v>#REF!</v>
      </c>
    </row>
  </sheetData>
  <sheetProtection sheet="1" objects="1" scenarios="1" selectLockedCells="1"/>
  <mergeCells count="20">
    <mergeCell ref="M6:N6"/>
    <mergeCell ref="G8:I8"/>
    <mergeCell ref="K8:M8"/>
    <mergeCell ref="K29:M29"/>
    <mergeCell ref="K30:M30"/>
    <mergeCell ref="N8:AF8"/>
    <mergeCell ref="F4:G4"/>
    <mergeCell ref="M4:N4"/>
    <mergeCell ref="S4:U4"/>
    <mergeCell ref="F5:G5"/>
    <mergeCell ref="M5:N5"/>
    <mergeCell ref="S5:U5"/>
    <mergeCell ref="F3:G3"/>
    <mergeCell ref="M3:N3"/>
    <mergeCell ref="S3:U3"/>
    <mergeCell ref="F1:AB1"/>
    <mergeCell ref="F2:G2"/>
    <mergeCell ref="I2:L2"/>
    <mergeCell ref="M2:N2"/>
    <mergeCell ref="R2:U2"/>
  </mergeCells>
  <conditionalFormatting sqref="F10:F28">
    <cfRule type="expression" dxfId="399" priority="43" stopIfTrue="1">
      <formula>$H$2=F10</formula>
    </cfRule>
  </conditionalFormatting>
  <conditionalFormatting sqref="G10">
    <cfRule type="expression" dxfId="398" priority="25" stopIfTrue="1">
      <formula>$K$10=1</formula>
    </cfRule>
    <cfRule type="expression" dxfId="397" priority="26" stopIfTrue="1">
      <formula>$L$10=1</formula>
    </cfRule>
    <cfRule type="expression" dxfId="396" priority="27" stopIfTrue="1">
      <formula>$M$10=1</formula>
    </cfRule>
  </conditionalFormatting>
  <conditionalFormatting sqref="G11:G28">
    <cfRule type="expression" dxfId="395" priority="28" stopIfTrue="1">
      <formula>K11=1</formula>
    </cfRule>
    <cfRule type="expression" dxfId="394" priority="29" stopIfTrue="1">
      <formula>L11=1</formula>
    </cfRule>
    <cfRule type="expression" dxfId="393" priority="30" stopIfTrue="1">
      <formula>M11=1</formula>
    </cfRule>
  </conditionalFormatting>
  <conditionalFormatting sqref="H10:H28">
    <cfRule type="expression" dxfId="392" priority="31" stopIfTrue="1">
      <formula>K10=2</formula>
    </cfRule>
    <cfRule type="expression" dxfId="391" priority="32" stopIfTrue="1">
      <formula>L10=2</formula>
    </cfRule>
    <cfRule type="expression" dxfId="390" priority="33" stopIfTrue="1">
      <formula>M10=2</formula>
    </cfRule>
  </conditionalFormatting>
  <conditionalFormatting sqref="I10:I28">
    <cfRule type="expression" dxfId="389" priority="34" stopIfTrue="1">
      <formula>K10=3</formula>
    </cfRule>
    <cfRule type="expression" dxfId="388" priority="35" stopIfTrue="1">
      <formula>L10=3</formula>
    </cfRule>
    <cfRule type="expression" dxfId="387" priority="36" stopIfTrue="1">
      <formula>M10=3</formula>
    </cfRule>
  </conditionalFormatting>
  <conditionalFormatting sqref="I3:N6">
    <cfRule type="expression" dxfId="386" priority="40" stopIfTrue="1">
      <formula>$M3="1st"</formula>
    </cfRule>
    <cfRule type="expression" dxfId="385" priority="41" stopIfTrue="1">
      <formula>$M3="2nd"</formula>
    </cfRule>
    <cfRule type="expression" dxfId="384" priority="42" stopIfTrue="1">
      <formula>$M3="3rd"</formula>
    </cfRule>
  </conditionalFormatting>
  <conditionalFormatting sqref="J10:J28">
    <cfRule type="expression" dxfId="383" priority="37" stopIfTrue="1">
      <formula>K10=4</formula>
    </cfRule>
    <cfRule type="expression" dxfId="382" priority="38" stopIfTrue="1">
      <formula>L10=4</formula>
    </cfRule>
    <cfRule type="expression" dxfId="381" priority="39" stopIfTrue="1">
      <formula>M10=4</formula>
    </cfRule>
  </conditionalFormatting>
  <conditionalFormatting sqref="N10:AF28">
    <cfRule type="cellIs" dxfId="380" priority="10" stopIfTrue="1" operator="equal">
      <formula>3</formula>
    </cfRule>
    <cfRule type="cellIs" dxfId="379" priority="11" stopIfTrue="1" operator="equal">
      <formula>2</formula>
    </cfRule>
    <cfRule type="cellIs" dxfId="378" priority="12" stopIfTrue="1" operator="equal">
      <formula>1</formula>
    </cfRule>
  </conditionalFormatting>
  <conditionalFormatting sqref="N30:AF30">
    <cfRule type="cellIs" dxfId="377" priority="1" operator="equal">
      <formula>3</formula>
    </cfRule>
    <cfRule type="cellIs" dxfId="376" priority="2" operator="equal">
      <formula>2</formula>
    </cfRule>
    <cfRule type="cellIs" dxfId="375" priority="3" operator="equal">
      <formula>1</formula>
    </cfRule>
  </conditionalFormatting>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E31"/>
  <sheetViews>
    <sheetView showGridLines="0" zoomScaleNormal="100" workbookViewId="0">
      <selection activeCell="H2" sqref="H2"/>
    </sheetView>
  </sheetViews>
  <sheetFormatPr defaultColWidth="9.140625" defaultRowHeight="12.75" x14ac:dyDescent="0.2"/>
  <cols>
    <col min="1" max="1" width="8.425781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1"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1" s="29" customFormat="1" ht="22.5" x14ac:dyDescent="0.45">
      <c r="F2" s="133" t="s">
        <v>2</v>
      </c>
      <c r="G2" s="134"/>
      <c r="H2" s="47">
        <v>1</v>
      </c>
      <c r="I2" s="135" t="str">
        <f>+Names!$C$1</f>
        <v>Driver</v>
      </c>
      <c r="J2" s="136"/>
      <c r="K2" s="136"/>
      <c r="L2" s="137"/>
      <c r="M2" s="130" t="s">
        <v>8</v>
      </c>
      <c r="N2" s="130"/>
      <c r="R2" s="138" t="s">
        <v>12</v>
      </c>
      <c r="S2" s="139"/>
      <c r="T2" s="139"/>
      <c r="U2" s="140"/>
    </row>
    <row r="3" spans="2:31"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1"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1"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1" s="29" customFormat="1" ht="18.75" hidden="1" x14ac:dyDescent="0.3">
      <c r="E6" s="17"/>
      <c r="F6" s="55"/>
      <c r="G6" s="56"/>
      <c r="H6" s="3"/>
      <c r="I6" s="84"/>
      <c r="J6" s="85"/>
      <c r="K6" s="85"/>
      <c r="L6" s="86"/>
      <c r="M6" s="130"/>
      <c r="N6" s="130"/>
      <c r="R6"/>
      <c r="S6" s="26"/>
      <c r="T6" s="26"/>
      <c r="U6" s="26"/>
    </row>
    <row r="7" spans="2:31" ht="13.5" thickBot="1" x14ac:dyDescent="0.25">
      <c r="E7" s="28"/>
    </row>
    <row r="8" spans="2:31" s="30" customFormat="1" ht="16.5" thickBot="1" x14ac:dyDescent="0.25">
      <c r="G8" s="144" t="s">
        <v>3</v>
      </c>
      <c r="H8" s="145"/>
      <c r="I8" s="146"/>
      <c r="J8" s="87"/>
      <c r="K8" s="147" t="s">
        <v>34</v>
      </c>
      <c r="L8" s="147"/>
      <c r="M8" s="148"/>
      <c r="N8" s="144" t="s">
        <v>13</v>
      </c>
      <c r="O8" s="145"/>
      <c r="P8" s="145"/>
      <c r="Q8" s="145"/>
      <c r="R8" s="145"/>
      <c r="S8" s="145"/>
      <c r="T8" s="145"/>
      <c r="U8" s="145"/>
      <c r="V8" s="145"/>
      <c r="W8" s="145"/>
      <c r="X8" s="145"/>
      <c r="Y8" s="145"/>
      <c r="Z8" s="145"/>
      <c r="AA8" s="145"/>
      <c r="AB8" s="145"/>
      <c r="AC8" s="145"/>
      <c r="AD8" s="145"/>
      <c r="AE8" s="146"/>
    </row>
    <row r="9" spans="2:31"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c r="AE9" s="58">
        <f>+Names!$A$19</f>
        <v>0</v>
      </c>
    </row>
    <row r="10" spans="2:31" s="30" customFormat="1" ht="15.75" x14ac:dyDescent="0.25">
      <c r="B10" s="36">
        <v>1</v>
      </c>
      <c r="C10" s="36">
        <v>3</v>
      </c>
      <c r="D10" s="36">
        <v>6</v>
      </c>
      <c r="E10" s="36"/>
      <c r="F10" s="11">
        <v>1</v>
      </c>
      <c r="G10" s="37">
        <f ca="1">INDIRECT(ADDRESS(B10+1,1,,,"Names"))</f>
        <v>1</v>
      </c>
      <c r="H10" s="18">
        <f t="shared" ref="H10:I13" ca="1" si="0">INDIRECT(ADDRESS(C10+1,1,,,"Names"))</f>
        <v>3</v>
      </c>
      <c r="I10" s="38">
        <f t="shared" ca="1" si="0"/>
        <v>6</v>
      </c>
      <c r="J10" s="105"/>
      <c r="K10" s="49"/>
      <c r="L10" s="81"/>
      <c r="M10" s="77"/>
      <c r="N10" s="88" t="str">
        <f>IF(ISNA(MATCH(COLUMN()-13,$B10:$E10,0)),"",IF($K10=MATCH(COLUMN()-13,$B10:$E10,0),3,IF($L10=MATCH(COLUMN()-13,$B10:$E10,0),2,IF($M10=MATCH(COLUMN()-13,$B10:$E10,0),1," "))))</f>
        <v xml:space="preserve"> </v>
      </c>
      <c r="O10" s="89" t="str">
        <f t="shared" ref="O10:AE11" si="1">IF(ISNA(MATCH(COLUMN()-13,$B10:$E10,0)),"",IF($K10=MATCH(COLUMN()-13,$B10:$E10,0),3,IF($L10=MATCH(COLUMN()-13,$B10:$E10,0),2,IF($M10=MATCH(COLUMN()-13,$B10:$E10,0),1," "))))</f>
        <v/>
      </c>
      <c r="P10" s="89" t="str">
        <f t="shared" si="1"/>
        <v xml:space="preserve"> </v>
      </c>
      <c r="Q10" s="89" t="str">
        <f t="shared" si="1"/>
        <v/>
      </c>
      <c r="R10" s="89" t="str">
        <f t="shared" si="1"/>
        <v/>
      </c>
      <c r="S10" s="89" t="str">
        <f t="shared" si="1"/>
        <v xml:space="preserve"> </v>
      </c>
      <c r="T10" s="89" t="str">
        <f t="shared" si="1"/>
        <v/>
      </c>
      <c r="U10" s="89" t="str">
        <f t="shared" si="1"/>
        <v/>
      </c>
      <c r="V10" s="89" t="str">
        <f t="shared" si="1"/>
        <v/>
      </c>
      <c r="W10" s="89" t="str">
        <f t="shared" si="1"/>
        <v/>
      </c>
      <c r="X10" s="89" t="str">
        <f t="shared" si="1"/>
        <v/>
      </c>
      <c r="Y10" s="89" t="str">
        <f t="shared" si="1"/>
        <v/>
      </c>
      <c r="Z10" s="89" t="str">
        <f t="shared" si="1"/>
        <v/>
      </c>
      <c r="AA10" s="89" t="str">
        <f t="shared" si="1"/>
        <v/>
      </c>
      <c r="AB10" s="89" t="str">
        <f t="shared" si="1"/>
        <v/>
      </c>
      <c r="AC10" s="89" t="str">
        <f t="shared" si="1"/>
        <v/>
      </c>
      <c r="AD10" s="89" t="str">
        <f t="shared" si="1"/>
        <v/>
      </c>
      <c r="AE10" s="90" t="str">
        <f t="shared" si="1"/>
        <v/>
      </c>
    </row>
    <row r="11" spans="2:31" s="30" customFormat="1" ht="15.75" x14ac:dyDescent="0.25">
      <c r="B11" s="36">
        <v>2</v>
      </c>
      <c r="C11" s="36">
        <v>4</v>
      </c>
      <c r="D11" s="36">
        <v>7</v>
      </c>
      <c r="E11" s="36"/>
      <c r="F11" s="12">
        <v>2</v>
      </c>
      <c r="G11" s="4">
        <f t="shared" ref="G11:G13" ca="1" si="2">INDIRECT(ADDRESS(B11+1,1,,,"Names"))</f>
        <v>2</v>
      </c>
      <c r="H11" s="19">
        <f t="shared" ca="1" si="0"/>
        <v>4</v>
      </c>
      <c r="I11" s="69">
        <f t="shared" ca="1" si="0"/>
        <v>7</v>
      </c>
      <c r="J11" s="92"/>
      <c r="K11" s="97"/>
      <c r="L11" s="76"/>
      <c r="M11" s="98"/>
      <c r="N11" s="32" t="str">
        <f t="shared" ref="N11" si="3">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15" t="str">
        <f t="shared" si="1"/>
        <v/>
      </c>
      <c r="AE11" s="5" t="str">
        <f t="shared" si="1"/>
        <v/>
      </c>
    </row>
    <row r="12" spans="2:31" s="30" customFormat="1" ht="15.75" x14ac:dyDescent="0.25">
      <c r="B12" s="36">
        <v>3</v>
      </c>
      <c r="C12" s="36">
        <v>5</v>
      </c>
      <c r="D12" s="36">
        <v>8</v>
      </c>
      <c r="E12" s="36"/>
      <c r="F12" s="12">
        <v>3</v>
      </c>
      <c r="G12" s="4">
        <f t="shared" ca="1" si="2"/>
        <v>3</v>
      </c>
      <c r="H12" s="19">
        <f t="shared" ca="1" si="0"/>
        <v>5</v>
      </c>
      <c r="I12" s="69">
        <f t="shared" ca="1" si="0"/>
        <v>8</v>
      </c>
      <c r="J12" s="92"/>
      <c r="K12" s="97"/>
      <c r="L12" s="76"/>
      <c r="M12" s="98"/>
      <c r="N12" s="32" t="str">
        <f t="shared" ref="N12:AC27" si="4">IF(ISNA(MATCH(COLUMN()-13,$B12:$E12,0)),"",IF($K12=MATCH(COLUMN()-13,$B12:$E12,0),3,IF($L12=MATCH(COLUMN()-13,$B12:$E12,0),2,IF($M12=MATCH(COLUMN()-13,$B12:$E12,0),1," "))))</f>
        <v/>
      </c>
      <c r="O12" s="15" t="str">
        <f t="shared" si="4"/>
        <v/>
      </c>
      <c r="P12" s="15" t="str">
        <f t="shared" si="4"/>
        <v xml:space="preserve"> </v>
      </c>
      <c r="Q12" s="15" t="str">
        <f t="shared" si="4"/>
        <v/>
      </c>
      <c r="R12" s="15" t="str">
        <f t="shared" si="4"/>
        <v xml:space="preserve"> </v>
      </c>
      <c r="S12" s="15" t="str">
        <f t="shared" si="4"/>
        <v/>
      </c>
      <c r="T12" s="15" t="str">
        <f t="shared" si="4"/>
        <v/>
      </c>
      <c r="U12" s="15" t="str">
        <f t="shared" si="4"/>
        <v xml:space="preserve"> </v>
      </c>
      <c r="V12" s="15" t="str">
        <f t="shared" si="4"/>
        <v/>
      </c>
      <c r="W12" s="15" t="str">
        <f t="shared" si="4"/>
        <v/>
      </c>
      <c r="X12" s="15" t="str">
        <f t="shared" si="4"/>
        <v/>
      </c>
      <c r="Y12" s="15" t="str">
        <f t="shared" si="4"/>
        <v/>
      </c>
      <c r="Z12" s="15" t="str">
        <f t="shared" si="4"/>
        <v/>
      </c>
      <c r="AA12" s="15" t="str">
        <f t="shared" si="4"/>
        <v/>
      </c>
      <c r="AB12" s="15" t="str">
        <f t="shared" si="4"/>
        <v/>
      </c>
      <c r="AC12" s="15" t="str">
        <f t="shared" si="4"/>
        <v/>
      </c>
      <c r="AD12" s="15" t="str">
        <f t="shared" ref="AD12:AE26" si="5">IF(ISNA(MATCH(COLUMN()-13,$B12:$E12,0)),"",IF($K12=MATCH(COLUMN()-13,$B12:$E12,0),3,IF($L12=MATCH(COLUMN()-13,$B12:$E12,0),2,IF($M12=MATCH(COLUMN()-13,$B12:$E12,0),1," "))))</f>
        <v/>
      </c>
      <c r="AE12" s="5" t="str">
        <f t="shared" si="5"/>
        <v/>
      </c>
    </row>
    <row r="13" spans="2:31" s="30" customFormat="1" ht="15.75" x14ac:dyDescent="0.25">
      <c r="B13" s="36">
        <v>4</v>
      </c>
      <c r="C13" s="36">
        <v>6</v>
      </c>
      <c r="D13" s="36">
        <v>9</v>
      </c>
      <c r="E13" s="36"/>
      <c r="F13" s="12">
        <v>4</v>
      </c>
      <c r="G13" s="4">
        <f t="shared" ca="1" si="2"/>
        <v>4</v>
      </c>
      <c r="H13" s="19">
        <f t="shared" ca="1" si="0"/>
        <v>6</v>
      </c>
      <c r="I13" s="69">
        <f t="shared" ca="1" si="0"/>
        <v>9</v>
      </c>
      <c r="J13" s="92"/>
      <c r="K13" s="97"/>
      <c r="L13" s="76"/>
      <c r="M13" s="98"/>
      <c r="N13" s="32" t="str">
        <f t="shared" si="4"/>
        <v/>
      </c>
      <c r="O13" s="15" t="str">
        <f t="shared" si="4"/>
        <v/>
      </c>
      <c r="P13" s="15" t="str">
        <f t="shared" si="4"/>
        <v/>
      </c>
      <c r="Q13" s="15" t="str">
        <f t="shared" si="4"/>
        <v xml:space="preserve"> </v>
      </c>
      <c r="R13" s="15" t="str">
        <f t="shared" si="4"/>
        <v/>
      </c>
      <c r="S13" s="15" t="str">
        <f t="shared" si="4"/>
        <v xml:space="preserve"> </v>
      </c>
      <c r="T13" s="15" t="str">
        <f t="shared" si="4"/>
        <v/>
      </c>
      <c r="U13" s="15" t="str">
        <f t="shared" si="4"/>
        <v/>
      </c>
      <c r="V13" s="15" t="str">
        <f t="shared" si="4"/>
        <v xml:space="preserve"> </v>
      </c>
      <c r="W13" s="15" t="str">
        <f t="shared" si="4"/>
        <v/>
      </c>
      <c r="X13" s="15" t="str">
        <f t="shared" si="4"/>
        <v/>
      </c>
      <c r="Y13" s="15" t="str">
        <f t="shared" si="4"/>
        <v/>
      </c>
      <c r="Z13" s="15" t="str">
        <f t="shared" si="4"/>
        <v/>
      </c>
      <c r="AA13" s="15" t="str">
        <f t="shared" si="4"/>
        <v/>
      </c>
      <c r="AB13" s="15" t="str">
        <f t="shared" si="4"/>
        <v/>
      </c>
      <c r="AC13" s="15" t="str">
        <f t="shared" si="4"/>
        <v/>
      </c>
      <c r="AD13" s="15" t="str">
        <f t="shared" si="5"/>
        <v/>
      </c>
      <c r="AE13" s="5" t="str">
        <f t="shared" si="5"/>
        <v/>
      </c>
    </row>
    <row r="14" spans="2:31" s="30" customFormat="1" ht="15.75" x14ac:dyDescent="0.25">
      <c r="B14" s="36">
        <v>5</v>
      </c>
      <c r="C14" s="36">
        <v>7</v>
      </c>
      <c r="D14" s="36">
        <v>10</v>
      </c>
      <c r="E14" s="36"/>
      <c r="F14" s="12">
        <v>5</v>
      </c>
      <c r="G14" s="4">
        <f t="shared" ref="G14:G27" ca="1" si="6">INDIRECT(ADDRESS(B14+1,1,,,"Names"))</f>
        <v>5</v>
      </c>
      <c r="H14" s="19">
        <f t="shared" ref="H14:H27" ca="1" si="7">INDIRECT(ADDRESS(C14+1,1,,,"Names"))</f>
        <v>7</v>
      </c>
      <c r="I14" s="69">
        <f t="shared" ref="I14:I27" ca="1" si="8">INDIRECT(ADDRESS(D14+1,1,,,"Names"))</f>
        <v>13</v>
      </c>
      <c r="J14" s="92"/>
      <c r="K14" s="97"/>
      <c r="L14" s="76"/>
      <c r="M14" s="98"/>
      <c r="N14" s="32" t="str">
        <f t="shared" si="4"/>
        <v/>
      </c>
      <c r="O14" s="15" t="str">
        <f t="shared" si="4"/>
        <v/>
      </c>
      <c r="P14" s="15" t="str">
        <f t="shared" si="4"/>
        <v/>
      </c>
      <c r="Q14" s="15" t="str">
        <f t="shared" si="4"/>
        <v/>
      </c>
      <c r="R14" s="15" t="str">
        <f t="shared" si="4"/>
        <v xml:space="preserve"> </v>
      </c>
      <c r="S14" s="15" t="str">
        <f t="shared" si="4"/>
        <v/>
      </c>
      <c r="T14" s="15" t="str">
        <f t="shared" si="4"/>
        <v xml:space="preserve"> </v>
      </c>
      <c r="U14" s="15" t="str">
        <f t="shared" si="4"/>
        <v/>
      </c>
      <c r="V14" s="15" t="str">
        <f t="shared" si="4"/>
        <v/>
      </c>
      <c r="W14" s="15" t="str">
        <f t="shared" si="4"/>
        <v xml:space="preserve"> </v>
      </c>
      <c r="X14" s="15" t="str">
        <f t="shared" si="4"/>
        <v/>
      </c>
      <c r="Y14" s="15" t="str">
        <f t="shared" si="4"/>
        <v/>
      </c>
      <c r="Z14" s="15" t="str">
        <f t="shared" si="4"/>
        <v/>
      </c>
      <c r="AA14" s="15" t="str">
        <f t="shared" si="4"/>
        <v/>
      </c>
      <c r="AB14" s="15" t="str">
        <f t="shared" si="4"/>
        <v/>
      </c>
      <c r="AC14" s="15" t="str">
        <f t="shared" si="4"/>
        <v/>
      </c>
      <c r="AD14" s="15" t="str">
        <f t="shared" si="5"/>
        <v/>
      </c>
      <c r="AE14" s="5" t="str">
        <f t="shared" si="5"/>
        <v/>
      </c>
    </row>
    <row r="15" spans="2:31" s="30" customFormat="1" ht="15.75" x14ac:dyDescent="0.25">
      <c r="B15" s="36">
        <v>6</v>
      </c>
      <c r="C15" s="36">
        <v>8</v>
      </c>
      <c r="D15" s="36">
        <v>11</v>
      </c>
      <c r="E15" s="36"/>
      <c r="F15" s="12">
        <v>6</v>
      </c>
      <c r="G15" s="4">
        <f t="shared" ca="1" si="6"/>
        <v>6</v>
      </c>
      <c r="H15" s="19">
        <f t="shared" ca="1" si="7"/>
        <v>8</v>
      </c>
      <c r="I15" s="69">
        <f t="shared" ca="1" si="8"/>
        <v>14</v>
      </c>
      <c r="J15" s="92"/>
      <c r="K15" s="97"/>
      <c r="L15" s="76"/>
      <c r="M15" s="98"/>
      <c r="N15" s="32" t="str">
        <f t="shared" si="4"/>
        <v/>
      </c>
      <c r="O15" s="15" t="str">
        <f t="shared" si="4"/>
        <v/>
      </c>
      <c r="P15" s="15" t="str">
        <f t="shared" si="4"/>
        <v/>
      </c>
      <c r="Q15" s="15" t="str">
        <f t="shared" si="4"/>
        <v/>
      </c>
      <c r="R15" s="15" t="str">
        <f t="shared" si="4"/>
        <v/>
      </c>
      <c r="S15" s="15" t="str">
        <f t="shared" si="4"/>
        <v xml:space="preserve"> </v>
      </c>
      <c r="T15" s="15" t="str">
        <f t="shared" si="4"/>
        <v/>
      </c>
      <c r="U15" s="15" t="str">
        <f t="shared" si="4"/>
        <v xml:space="preserve"> </v>
      </c>
      <c r="V15" s="15" t="str">
        <f t="shared" si="4"/>
        <v/>
      </c>
      <c r="W15" s="15" t="str">
        <f t="shared" si="4"/>
        <v/>
      </c>
      <c r="X15" s="15" t="str">
        <f t="shared" si="4"/>
        <v xml:space="preserve"> </v>
      </c>
      <c r="Y15" s="15" t="str">
        <f t="shared" si="4"/>
        <v/>
      </c>
      <c r="Z15" s="15" t="str">
        <f t="shared" si="4"/>
        <v/>
      </c>
      <c r="AA15" s="15" t="str">
        <f t="shared" si="4"/>
        <v/>
      </c>
      <c r="AB15" s="15" t="str">
        <f t="shared" si="4"/>
        <v/>
      </c>
      <c r="AC15" s="15" t="str">
        <f t="shared" si="4"/>
        <v/>
      </c>
      <c r="AD15" s="15" t="str">
        <f t="shared" si="5"/>
        <v/>
      </c>
      <c r="AE15" s="5" t="str">
        <f t="shared" si="5"/>
        <v/>
      </c>
    </row>
    <row r="16" spans="2:31" s="30" customFormat="1" ht="15.75" x14ac:dyDescent="0.25">
      <c r="B16" s="36">
        <v>7</v>
      </c>
      <c r="C16" s="36">
        <v>9</v>
      </c>
      <c r="D16" s="36">
        <v>12</v>
      </c>
      <c r="E16" s="36"/>
      <c r="F16" s="12">
        <v>7</v>
      </c>
      <c r="G16" s="4">
        <f t="shared" ca="1" si="6"/>
        <v>7</v>
      </c>
      <c r="H16" s="19">
        <f t="shared" ca="1" si="7"/>
        <v>9</v>
      </c>
      <c r="I16" s="69">
        <f t="shared" ca="1" si="8"/>
        <v>23</v>
      </c>
      <c r="J16" s="92"/>
      <c r="K16" s="97"/>
      <c r="L16" s="76"/>
      <c r="M16" s="98"/>
      <c r="N16" s="32" t="str">
        <f t="shared" si="4"/>
        <v/>
      </c>
      <c r="O16" s="15" t="str">
        <f t="shared" si="4"/>
        <v/>
      </c>
      <c r="P16" s="15" t="str">
        <f t="shared" si="4"/>
        <v/>
      </c>
      <c r="Q16" s="15" t="str">
        <f t="shared" si="4"/>
        <v/>
      </c>
      <c r="R16" s="15" t="str">
        <f t="shared" si="4"/>
        <v/>
      </c>
      <c r="S16" s="15" t="str">
        <f t="shared" si="4"/>
        <v/>
      </c>
      <c r="T16" s="15" t="str">
        <f t="shared" si="4"/>
        <v xml:space="preserve"> </v>
      </c>
      <c r="U16" s="15" t="str">
        <f t="shared" si="4"/>
        <v/>
      </c>
      <c r="V16" s="15" t="str">
        <f t="shared" si="4"/>
        <v xml:space="preserve"> </v>
      </c>
      <c r="W16" s="15" t="str">
        <f t="shared" si="4"/>
        <v/>
      </c>
      <c r="X16" s="15" t="str">
        <f t="shared" si="4"/>
        <v/>
      </c>
      <c r="Y16" s="15" t="str">
        <f t="shared" si="4"/>
        <v xml:space="preserve"> </v>
      </c>
      <c r="Z16" s="15" t="str">
        <f t="shared" si="4"/>
        <v/>
      </c>
      <c r="AA16" s="15" t="str">
        <f t="shared" si="4"/>
        <v/>
      </c>
      <c r="AB16" s="15" t="str">
        <f t="shared" si="4"/>
        <v/>
      </c>
      <c r="AC16" s="15" t="str">
        <f t="shared" si="4"/>
        <v/>
      </c>
      <c r="AD16" s="15" t="str">
        <f t="shared" si="5"/>
        <v/>
      </c>
      <c r="AE16" s="5" t="str">
        <f t="shared" si="5"/>
        <v/>
      </c>
    </row>
    <row r="17" spans="2:31" s="30" customFormat="1" ht="15.75" x14ac:dyDescent="0.25">
      <c r="B17" s="36">
        <v>8</v>
      </c>
      <c r="C17" s="36">
        <v>10</v>
      </c>
      <c r="D17" s="36">
        <v>13</v>
      </c>
      <c r="E17" s="36"/>
      <c r="F17" s="12">
        <v>8</v>
      </c>
      <c r="G17" s="4">
        <f t="shared" ca="1" si="6"/>
        <v>8</v>
      </c>
      <c r="H17" s="19">
        <f t="shared" ca="1" si="7"/>
        <v>13</v>
      </c>
      <c r="I17" s="69">
        <f t="shared" ca="1" si="8"/>
        <v>30</v>
      </c>
      <c r="J17" s="92"/>
      <c r="K17" s="97"/>
      <c r="L17" s="76"/>
      <c r="M17" s="98"/>
      <c r="N17" s="32" t="str">
        <f t="shared" si="4"/>
        <v/>
      </c>
      <c r="O17" s="15" t="str">
        <f t="shared" si="4"/>
        <v/>
      </c>
      <c r="P17" s="15" t="str">
        <f t="shared" si="4"/>
        <v/>
      </c>
      <c r="Q17" s="15" t="str">
        <f t="shared" si="4"/>
        <v/>
      </c>
      <c r="R17" s="15" t="str">
        <f t="shared" si="4"/>
        <v/>
      </c>
      <c r="S17" s="15" t="str">
        <f t="shared" si="4"/>
        <v/>
      </c>
      <c r="T17" s="15" t="str">
        <f t="shared" si="4"/>
        <v/>
      </c>
      <c r="U17" s="15" t="str">
        <f t="shared" si="4"/>
        <v xml:space="preserve"> </v>
      </c>
      <c r="V17" s="15" t="str">
        <f t="shared" si="4"/>
        <v/>
      </c>
      <c r="W17" s="15" t="str">
        <f t="shared" si="4"/>
        <v xml:space="preserve"> </v>
      </c>
      <c r="X17" s="15" t="str">
        <f t="shared" si="4"/>
        <v/>
      </c>
      <c r="Y17" s="15" t="str">
        <f t="shared" si="4"/>
        <v/>
      </c>
      <c r="Z17" s="15" t="str">
        <f t="shared" si="4"/>
        <v xml:space="preserve"> </v>
      </c>
      <c r="AA17" s="15" t="str">
        <f t="shared" si="4"/>
        <v/>
      </c>
      <c r="AB17" s="15" t="str">
        <f t="shared" si="4"/>
        <v/>
      </c>
      <c r="AC17" s="15" t="str">
        <f t="shared" si="4"/>
        <v/>
      </c>
      <c r="AD17" s="15" t="str">
        <f t="shared" si="5"/>
        <v/>
      </c>
      <c r="AE17" s="5" t="str">
        <f t="shared" si="5"/>
        <v/>
      </c>
    </row>
    <row r="18" spans="2:31" s="30" customFormat="1" ht="15.75" x14ac:dyDescent="0.25">
      <c r="B18" s="36">
        <v>9</v>
      </c>
      <c r="C18" s="36">
        <v>11</v>
      </c>
      <c r="D18" s="36">
        <v>14</v>
      </c>
      <c r="E18" s="36"/>
      <c r="F18" s="12">
        <v>9</v>
      </c>
      <c r="G18" s="4">
        <f t="shared" ca="1" si="6"/>
        <v>9</v>
      </c>
      <c r="H18" s="19">
        <f t="shared" ca="1" si="7"/>
        <v>14</v>
      </c>
      <c r="I18" s="69">
        <f t="shared" ca="1" si="8"/>
        <v>37</v>
      </c>
      <c r="J18" s="92"/>
      <c r="K18" s="97"/>
      <c r="L18" s="76"/>
      <c r="M18" s="98"/>
      <c r="N18" s="32" t="str">
        <f t="shared" si="4"/>
        <v/>
      </c>
      <c r="O18" s="15" t="str">
        <f t="shared" si="4"/>
        <v/>
      </c>
      <c r="P18" s="15" t="str">
        <f t="shared" si="4"/>
        <v/>
      </c>
      <c r="Q18" s="15" t="str">
        <f t="shared" si="4"/>
        <v/>
      </c>
      <c r="R18" s="15" t="str">
        <f t="shared" si="4"/>
        <v/>
      </c>
      <c r="S18" s="15" t="str">
        <f t="shared" si="4"/>
        <v/>
      </c>
      <c r="T18" s="15" t="str">
        <f t="shared" si="4"/>
        <v/>
      </c>
      <c r="U18" s="15" t="str">
        <f t="shared" si="4"/>
        <v/>
      </c>
      <c r="V18" s="15" t="str">
        <f t="shared" si="4"/>
        <v xml:space="preserve"> </v>
      </c>
      <c r="W18" s="15" t="str">
        <f t="shared" si="4"/>
        <v/>
      </c>
      <c r="X18" s="15" t="str">
        <f t="shared" si="4"/>
        <v xml:space="preserve"> </v>
      </c>
      <c r="Y18" s="15" t="str">
        <f t="shared" si="4"/>
        <v/>
      </c>
      <c r="Z18" s="15" t="str">
        <f t="shared" si="4"/>
        <v/>
      </c>
      <c r="AA18" s="15" t="str">
        <f t="shared" si="4"/>
        <v xml:space="preserve"> </v>
      </c>
      <c r="AB18" s="15" t="str">
        <f t="shared" si="4"/>
        <v/>
      </c>
      <c r="AC18" s="15" t="str">
        <f t="shared" si="4"/>
        <v/>
      </c>
      <c r="AD18" s="15" t="str">
        <f t="shared" si="5"/>
        <v/>
      </c>
      <c r="AE18" s="5" t="str">
        <f t="shared" si="5"/>
        <v/>
      </c>
    </row>
    <row r="19" spans="2:31" s="30" customFormat="1" ht="15.75" x14ac:dyDescent="0.25">
      <c r="B19" s="36">
        <v>10</v>
      </c>
      <c r="C19" s="36">
        <v>12</v>
      </c>
      <c r="D19" s="36">
        <v>15</v>
      </c>
      <c r="E19" s="36"/>
      <c r="F19" s="12">
        <v>10</v>
      </c>
      <c r="G19" s="4">
        <f t="shared" ca="1" si="6"/>
        <v>13</v>
      </c>
      <c r="H19" s="19">
        <f t="shared" ca="1" si="7"/>
        <v>23</v>
      </c>
      <c r="I19" s="69">
        <f t="shared" ca="1" si="8"/>
        <v>49</v>
      </c>
      <c r="J19" s="92"/>
      <c r="K19" s="97"/>
      <c r="L19" s="76"/>
      <c r="M19" s="98"/>
      <c r="N19" s="32" t="str">
        <f t="shared" si="4"/>
        <v/>
      </c>
      <c r="O19" s="15" t="str">
        <f t="shared" si="4"/>
        <v/>
      </c>
      <c r="P19" s="15" t="str">
        <f t="shared" si="4"/>
        <v/>
      </c>
      <c r="Q19" s="15" t="str">
        <f t="shared" si="4"/>
        <v/>
      </c>
      <c r="R19" s="15" t="str">
        <f t="shared" si="4"/>
        <v/>
      </c>
      <c r="S19" s="15" t="str">
        <f t="shared" si="4"/>
        <v/>
      </c>
      <c r="T19" s="15" t="str">
        <f t="shared" si="4"/>
        <v/>
      </c>
      <c r="U19" s="15" t="str">
        <f t="shared" si="4"/>
        <v/>
      </c>
      <c r="V19" s="15" t="str">
        <f t="shared" si="4"/>
        <v/>
      </c>
      <c r="W19" s="15" t="str">
        <f t="shared" si="4"/>
        <v xml:space="preserve"> </v>
      </c>
      <c r="X19" s="15" t="str">
        <f t="shared" si="4"/>
        <v/>
      </c>
      <c r="Y19" s="15" t="str">
        <f t="shared" si="4"/>
        <v xml:space="preserve"> </v>
      </c>
      <c r="Z19" s="15" t="str">
        <f t="shared" si="4"/>
        <v/>
      </c>
      <c r="AA19" s="15" t="str">
        <f t="shared" si="4"/>
        <v/>
      </c>
      <c r="AB19" s="15" t="str">
        <f t="shared" si="4"/>
        <v xml:space="preserve"> </v>
      </c>
      <c r="AC19" s="15" t="str">
        <f t="shared" si="4"/>
        <v/>
      </c>
      <c r="AD19" s="15" t="str">
        <f t="shared" si="5"/>
        <v/>
      </c>
      <c r="AE19" s="5" t="str">
        <f t="shared" si="5"/>
        <v/>
      </c>
    </row>
    <row r="20" spans="2:31" s="30" customFormat="1" ht="15.75" x14ac:dyDescent="0.25">
      <c r="B20" s="36">
        <v>11</v>
      </c>
      <c r="C20" s="36">
        <v>13</v>
      </c>
      <c r="D20" s="36">
        <v>16</v>
      </c>
      <c r="E20" s="36"/>
      <c r="F20" s="12">
        <v>11</v>
      </c>
      <c r="G20" s="4">
        <f t="shared" ca="1" si="6"/>
        <v>14</v>
      </c>
      <c r="H20" s="19">
        <f t="shared" ca="1" si="7"/>
        <v>30</v>
      </c>
      <c r="I20" s="69">
        <f t="shared" ca="1" si="8"/>
        <v>99</v>
      </c>
      <c r="J20" s="92"/>
      <c r="K20" s="97"/>
      <c r="L20" s="76"/>
      <c r="M20" s="98"/>
      <c r="N20" s="32" t="str">
        <f t="shared" si="4"/>
        <v/>
      </c>
      <c r="O20" s="15" t="str">
        <f t="shared" si="4"/>
        <v/>
      </c>
      <c r="P20" s="15" t="str">
        <f t="shared" si="4"/>
        <v/>
      </c>
      <c r="Q20" s="15" t="str">
        <f t="shared" si="4"/>
        <v/>
      </c>
      <c r="R20" s="15" t="str">
        <f t="shared" si="4"/>
        <v/>
      </c>
      <c r="S20" s="15" t="str">
        <f t="shared" si="4"/>
        <v/>
      </c>
      <c r="T20" s="15" t="str">
        <f t="shared" si="4"/>
        <v/>
      </c>
      <c r="U20" s="15" t="str">
        <f t="shared" si="4"/>
        <v/>
      </c>
      <c r="V20" s="15" t="str">
        <f t="shared" si="4"/>
        <v/>
      </c>
      <c r="W20" s="15" t="str">
        <f t="shared" si="4"/>
        <v/>
      </c>
      <c r="X20" s="15" t="str">
        <f t="shared" si="4"/>
        <v xml:space="preserve"> </v>
      </c>
      <c r="Y20" s="15" t="str">
        <f t="shared" si="4"/>
        <v/>
      </c>
      <c r="Z20" s="15" t="str">
        <f t="shared" si="4"/>
        <v xml:space="preserve"> </v>
      </c>
      <c r="AA20" s="15" t="str">
        <f t="shared" si="4"/>
        <v/>
      </c>
      <c r="AB20" s="15" t="str">
        <f t="shared" si="4"/>
        <v/>
      </c>
      <c r="AC20" s="15" t="str">
        <f t="shared" si="4"/>
        <v xml:space="preserve"> </v>
      </c>
      <c r="AD20" s="15" t="str">
        <f t="shared" si="5"/>
        <v/>
      </c>
      <c r="AE20" s="5" t="str">
        <f t="shared" si="5"/>
        <v/>
      </c>
    </row>
    <row r="21" spans="2:31" s="30" customFormat="1" ht="15.75" x14ac:dyDescent="0.25">
      <c r="B21" s="36">
        <v>12</v>
      </c>
      <c r="C21" s="36">
        <v>14</v>
      </c>
      <c r="D21" s="36">
        <v>17</v>
      </c>
      <c r="E21" s="36"/>
      <c r="F21" s="12">
        <v>12</v>
      </c>
      <c r="G21" s="4">
        <f t="shared" ca="1" si="6"/>
        <v>23</v>
      </c>
      <c r="H21" s="19">
        <f t="shared" ca="1" si="7"/>
        <v>37</v>
      </c>
      <c r="I21" s="69">
        <f t="shared" ca="1" si="8"/>
        <v>0</v>
      </c>
      <c r="J21" s="92"/>
      <c r="K21" s="97"/>
      <c r="L21" s="76"/>
      <c r="M21" s="98"/>
      <c r="N21" s="32" t="str">
        <f t="shared" si="4"/>
        <v/>
      </c>
      <c r="O21" s="15" t="str">
        <f t="shared" si="4"/>
        <v/>
      </c>
      <c r="P21" s="15" t="str">
        <f t="shared" si="4"/>
        <v/>
      </c>
      <c r="Q21" s="15" t="str">
        <f t="shared" si="4"/>
        <v/>
      </c>
      <c r="R21" s="15" t="str">
        <f t="shared" si="4"/>
        <v/>
      </c>
      <c r="S21" s="15" t="str">
        <f t="shared" si="4"/>
        <v/>
      </c>
      <c r="T21" s="15" t="str">
        <f t="shared" si="4"/>
        <v/>
      </c>
      <c r="U21" s="15" t="str">
        <f t="shared" si="4"/>
        <v/>
      </c>
      <c r="V21" s="15" t="str">
        <f t="shared" si="4"/>
        <v/>
      </c>
      <c r="W21" s="15" t="str">
        <f t="shared" si="4"/>
        <v/>
      </c>
      <c r="X21" s="15" t="str">
        <f t="shared" si="4"/>
        <v/>
      </c>
      <c r="Y21" s="15" t="str">
        <f t="shared" si="4"/>
        <v xml:space="preserve"> </v>
      </c>
      <c r="Z21" s="15" t="str">
        <f t="shared" si="4"/>
        <v/>
      </c>
      <c r="AA21" s="15" t="str">
        <f t="shared" si="4"/>
        <v xml:space="preserve"> </v>
      </c>
      <c r="AB21" s="15" t="str">
        <f t="shared" si="4"/>
        <v/>
      </c>
      <c r="AC21" s="15" t="str">
        <f t="shared" si="4"/>
        <v/>
      </c>
      <c r="AD21" s="15" t="str">
        <f t="shared" si="5"/>
        <v xml:space="preserve"> </v>
      </c>
      <c r="AE21" s="5" t="str">
        <f t="shared" si="5"/>
        <v/>
      </c>
    </row>
    <row r="22" spans="2:31" s="30" customFormat="1" ht="15.75" x14ac:dyDescent="0.25">
      <c r="B22" s="36">
        <v>13</v>
      </c>
      <c r="C22" s="36">
        <v>15</v>
      </c>
      <c r="D22" s="36">
        <v>18</v>
      </c>
      <c r="E22" s="36"/>
      <c r="F22" s="12">
        <v>13</v>
      </c>
      <c r="G22" s="4">
        <f t="shared" ca="1" si="6"/>
        <v>30</v>
      </c>
      <c r="H22" s="19">
        <f t="shared" ca="1" si="7"/>
        <v>49</v>
      </c>
      <c r="I22" s="69">
        <f t="shared" ca="1" si="8"/>
        <v>0</v>
      </c>
      <c r="J22" s="92"/>
      <c r="K22" s="97"/>
      <c r="L22" s="76"/>
      <c r="M22" s="98"/>
      <c r="N22" s="32" t="str">
        <f t="shared" si="4"/>
        <v/>
      </c>
      <c r="O22" s="15" t="str">
        <f t="shared" si="4"/>
        <v/>
      </c>
      <c r="P22" s="15" t="str">
        <f t="shared" si="4"/>
        <v/>
      </c>
      <c r="Q22" s="15" t="str">
        <f t="shared" si="4"/>
        <v/>
      </c>
      <c r="R22" s="15" t="str">
        <f t="shared" si="4"/>
        <v/>
      </c>
      <c r="S22" s="15" t="str">
        <f t="shared" si="4"/>
        <v/>
      </c>
      <c r="T22" s="15" t="str">
        <f t="shared" si="4"/>
        <v/>
      </c>
      <c r="U22" s="15" t="str">
        <f t="shared" si="4"/>
        <v/>
      </c>
      <c r="V22" s="15" t="str">
        <f t="shared" si="4"/>
        <v/>
      </c>
      <c r="W22" s="15" t="str">
        <f t="shared" si="4"/>
        <v/>
      </c>
      <c r="X22" s="15" t="str">
        <f t="shared" si="4"/>
        <v/>
      </c>
      <c r="Y22" s="15" t="str">
        <f t="shared" si="4"/>
        <v/>
      </c>
      <c r="Z22" s="15" t="str">
        <f t="shared" si="4"/>
        <v xml:space="preserve"> </v>
      </c>
      <c r="AA22" s="15" t="str">
        <f t="shared" si="4"/>
        <v/>
      </c>
      <c r="AB22" s="15" t="str">
        <f t="shared" si="4"/>
        <v xml:space="preserve"> </v>
      </c>
      <c r="AC22" s="15" t="str">
        <f t="shared" si="4"/>
        <v/>
      </c>
      <c r="AD22" s="15" t="str">
        <f t="shared" si="5"/>
        <v/>
      </c>
      <c r="AE22" s="5" t="str">
        <f t="shared" si="5"/>
        <v xml:space="preserve"> </v>
      </c>
    </row>
    <row r="23" spans="2:31" s="30" customFormat="1" ht="15.75" x14ac:dyDescent="0.25">
      <c r="B23" s="36">
        <v>14</v>
      </c>
      <c r="C23" s="36">
        <v>16</v>
      </c>
      <c r="D23" s="36">
        <v>1</v>
      </c>
      <c r="E23" s="36"/>
      <c r="F23" s="12">
        <v>14</v>
      </c>
      <c r="G23" s="4">
        <f t="shared" ca="1" si="6"/>
        <v>37</v>
      </c>
      <c r="H23" s="19">
        <f t="shared" ca="1" si="7"/>
        <v>99</v>
      </c>
      <c r="I23" s="69">
        <f t="shared" ca="1" si="8"/>
        <v>1</v>
      </c>
      <c r="J23" s="92"/>
      <c r="K23" s="97"/>
      <c r="L23" s="76"/>
      <c r="M23" s="98"/>
      <c r="N23" s="32" t="str">
        <f t="shared" si="4"/>
        <v xml:space="preserve"> </v>
      </c>
      <c r="O23" s="15" t="str">
        <f t="shared" si="4"/>
        <v/>
      </c>
      <c r="P23" s="15" t="str">
        <f t="shared" si="4"/>
        <v/>
      </c>
      <c r="Q23" s="15" t="str">
        <f t="shared" si="4"/>
        <v/>
      </c>
      <c r="R23" s="15" t="str">
        <f t="shared" si="4"/>
        <v/>
      </c>
      <c r="S23" s="15" t="str">
        <f t="shared" si="4"/>
        <v/>
      </c>
      <c r="T23" s="15" t="str">
        <f t="shared" si="4"/>
        <v/>
      </c>
      <c r="U23" s="15" t="str">
        <f t="shared" si="4"/>
        <v/>
      </c>
      <c r="V23" s="15" t="str">
        <f t="shared" si="4"/>
        <v/>
      </c>
      <c r="W23" s="15" t="str">
        <f t="shared" si="4"/>
        <v/>
      </c>
      <c r="X23" s="15" t="str">
        <f t="shared" si="4"/>
        <v/>
      </c>
      <c r="Y23" s="15" t="str">
        <f t="shared" si="4"/>
        <v/>
      </c>
      <c r="Z23" s="15" t="str">
        <f t="shared" si="4"/>
        <v/>
      </c>
      <c r="AA23" s="15" t="str">
        <f t="shared" si="4"/>
        <v xml:space="preserve"> </v>
      </c>
      <c r="AB23" s="15" t="str">
        <f t="shared" si="4"/>
        <v/>
      </c>
      <c r="AC23" s="15" t="str">
        <f t="shared" si="4"/>
        <v xml:space="preserve"> </v>
      </c>
      <c r="AD23" s="15" t="str">
        <f t="shared" si="5"/>
        <v/>
      </c>
      <c r="AE23" s="5" t="str">
        <f t="shared" si="5"/>
        <v/>
      </c>
    </row>
    <row r="24" spans="2:31" s="30" customFormat="1" ht="15.75" x14ac:dyDescent="0.25">
      <c r="B24" s="36">
        <v>15</v>
      </c>
      <c r="C24" s="36">
        <v>17</v>
      </c>
      <c r="D24" s="36">
        <v>2</v>
      </c>
      <c r="E24" s="36"/>
      <c r="F24" s="12">
        <v>15</v>
      </c>
      <c r="G24" s="4">
        <f t="shared" ca="1" si="6"/>
        <v>49</v>
      </c>
      <c r="H24" s="19">
        <f t="shared" ca="1" si="7"/>
        <v>0</v>
      </c>
      <c r="I24" s="69">
        <f t="shared" ca="1" si="8"/>
        <v>2</v>
      </c>
      <c r="J24" s="92"/>
      <c r="K24" s="97"/>
      <c r="L24" s="76"/>
      <c r="M24" s="98"/>
      <c r="N24" s="32" t="str">
        <f t="shared" si="4"/>
        <v/>
      </c>
      <c r="O24" s="15" t="str">
        <f t="shared" si="4"/>
        <v xml:space="preserve"> </v>
      </c>
      <c r="P24" s="15" t="str">
        <f t="shared" si="4"/>
        <v/>
      </c>
      <c r="Q24" s="15" t="str">
        <f t="shared" si="4"/>
        <v/>
      </c>
      <c r="R24" s="15" t="str">
        <f t="shared" si="4"/>
        <v/>
      </c>
      <c r="S24" s="15" t="str">
        <f t="shared" si="4"/>
        <v/>
      </c>
      <c r="T24" s="15" t="str">
        <f t="shared" si="4"/>
        <v/>
      </c>
      <c r="U24" s="15" t="str">
        <f t="shared" si="4"/>
        <v/>
      </c>
      <c r="V24" s="15" t="str">
        <f t="shared" si="4"/>
        <v/>
      </c>
      <c r="W24" s="15" t="str">
        <f t="shared" si="4"/>
        <v/>
      </c>
      <c r="X24" s="15" t="str">
        <f t="shared" si="4"/>
        <v/>
      </c>
      <c r="Y24" s="15" t="str">
        <f t="shared" si="4"/>
        <v/>
      </c>
      <c r="Z24" s="15" t="str">
        <f t="shared" si="4"/>
        <v/>
      </c>
      <c r="AA24" s="15" t="str">
        <f t="shared" si="4"/>
        <v/>
      </c>
      <c r="AB24" s="15" t="str">
        <f t="shared" si="4"/>
        <v xml:space="preserve"> </v>
      </c>
      <c r="AC24" s="15" t="str">
        <f t="shared" si="4"/>
        <v/>
      </c>
      <c r="AD24" s="15" t="str">
        <f t="shared" si="5"/>
        <v xml:space="preserve"> </v>
      </c>
      <c r="AE24" s="5" t="str">
        <f t="shared" si="5"/>
        <v/>
      </c>
    </row>
    <row r="25" spans="2:31" s="30" customFormat="1" ht="15.75" x14ac:dyDescent="0.25">
      <c r="B25" s="36">
        <v>16</v>
      </c>
      <c r="C25" s="36">
        <v>18</v>
      </c>
      <c r="D25" s="36">
        <v>3</v>
      </c>
      <c r="E25" s="36"/>
      <c r="F25" s="12">
        <v>16</v>
      </c>
      <c r="G25" s="4">
        <f t="shared" ca="1" si="6"/>
        <v>99</v>
      </c>
      <c r="H25" s="19">
        <f t="shared" ca="1" si="7"/>
        <v>0</v>
      </c>
      <c r="I25" s="69">
        <f t="shared" ca="1" si="8"/>
        <v>3</v>
      </c>
      <c r="J25" s="92"/>
      <c r="K25" s="97"/>
      <c r="L25" s="76"/>
      <c r="M25" s="98"/>
      <c r="N25" s="32" t="str">
        <f t="shared" si="4"/>
        <v/>
      </c>
      <c r="O25" s="15" t="str">
        <f t="shared" si="4"/>
        <v/>
      </c>
      <c r="P25" s="15" t="str">
        <f t="shared" si="4"/>
        <v xml:space="preserve"> </v>
      </c>
      <c r="Q25" s="15" t="str">
        <f t="shared" si="4"/>
        <v/>
      </c>
      <c r="R25" s="15" t="str">
        <f t="shared" si="4"/>
        <v/>
      </c>
      <c r="S25" s="15" t="str">
        <f t="shared" si="4"/>
        <v/>
      </c>
      <c r="T25" s="15" t="str">
        <f t="shared" si="4"/>
        <v/>
      </c>
      <c r="U25" s="15" t="str">
        <f t="shared" si="4"/>
        <v/>
      </c>
      <c r="V25" s="15" t="str">
        <f t="shared" si="4"/>
        <v/>
      </c>
      <c r="W25" s="15" t="str">
        <f t="shared" si="4"/>
        <v/>
      </c>
      <c r="X25" s="15" t="str">
        <f t="shared" si="4"/>
        <v/>
      </c>
      <c r="Y25" s="15" t="str">
        <f t="shared" si="4"/>
        <v/>
      </c>
      <c r="Z25" s="15" t="str">
        <f t="shared" si="4"/>
        <v/>
      </c>
      <c r="AA25" s="15" t="str">
        <f t="shared" si="4"/>
        <v/>
      </c>
      <c r="AB25" s="15" t="str">
        <f t="shared" si="4"/>
        <v/>
      </c>
      <c r="AC25" s="15" t="str">
        <f t="shared" si="4"/>
        <v xml:space="preserve"> </v>
      </c>
      <c r="AD25" s="15" t="str">
        <f t="shared" si="5"/>
        <v/>
      </c>
      <c r="AE25" s="5" t="str">
        <f t="shared" si="5"/>
        <v xml:space="preserve"> </v>
      </c>
    </row>
    <row r="26" spans="2:31" s="30" customFormat="1" ht="15.75" x14ac:dyDescent="0.25">
      <c r="B26" s="36">
        <v>17</v>
      </c>
      <c r="C26" s="36">
        <v>1</v>
      </c>
      <c r="D26" s="36">
        <v>4</v>
      </c>
      <c r="E26" s="36"/>
      <c r="F26" s="12">
        <v>17</v>
      </c>
      <c r="G26" s="4">
        <f t="shared" ca="1" si="6"/>
        <v>0</v>
      </c>
      <c r="H26" s="19">
        <f t="shared" ca="1" si="7"/>
        <v>1</v>
      </c>
      <c r="I26" s="69">
        <f t="shared" ca="1" si="8"/>
        <v>4</v>
      </c>
      <c r="J26" s="92"/>
      <c r="K26" s="97"/>
      <c r="L26" s="76"/>
      <c r="M26" s="98"/>
      <c r="N26" s="32" t="str">
        <f t="shared" si="4"/>
        <v xml:space="preserve"> </v>
      </c>
      <c r="O26" s="15" t="str">
        <f t="shared" si="4"/>
        <v/>
      </c>
      <c r="P26" s="15" t="str">
        <f t="shared" si="4"/>
        <v/>
      </c>
      <c r="Q26" s="15" t="str">
        <f t="shared" si="4"/>
        <v xml:space="preserve"> </v>
      </c>
      <c r="R26" s="15" t="str">
        <f t="shared" si="4"/>
        <v/>
      </c>
      <c r="S26" s="15" t="str">
        <f t="shared" si="4"/>
        <v/>
      </c>
      <c r="T26" s="15" t="str">
        <f t="shared" si="4"/>
        <v/>
      </c>
      <c r="U26" s="15" t="str">
        <f t="shared" si="4"/>
        <v/>
      </c>
      <c r="V26" s="15" t="str">
        <f t="shared" si="4"/>
        <v/>
      </c>
      <c r="W26" s="15" t="str">
        <f t="shared" si="4"/>
        <v/>
      </c>
      <c r="X26" s="15" t="str">
        <f t="shared" si="4"/>
        <v/>
      </c>
      <c r="Y26" s="15" t="str">
        <f t="shared" si="4"/>
        <v/>
      </c>
      <c r="Z26" s="15" t="str">
        <f t="shared" si="4"/>
        <v/>
      </c>
      <c r="AA26" s="15" t="str">
        <f t="shared" si="4"/>
        <v/>
      </c>
      <c r="AB26" s="15" t="str">
        <f t="shared" si="4"/>
        <v/>
      </c>
      <c r="AC26" s="15" t="str">
        <f t="shared" si="4"/>
        <v/>
      </c>
      <c r="AD26" s="15" t="str">
        <f t="shared" si="5"/>
        <v xml:space="preserve"> </v>
      </c>
      <c r="AE26" s="5" t="str">
        <f t="shared" si="5"/>
        <v/>
      </c>
    </row>
    <row r="27" spans="2:31" s="30" customFormat="1" ht="16.5" thickBot="1" x14ac:dyDescent="0.3">
      <c r="B27" s="36">
        <v>18</v>
      </c>
      <c r="C27" s="36">
        <v>2</v>
      </c>
      <c r="D27" s="36">
        <v>5</v>
      </c>
      <c r="E27" s="36"/>
      <c r="F27" s="13">
        <v>18</v>
      </c>
      <c r="G27" s="6">
        <f t="shared" ca="1" si="6"/>
        <v>0</v>
      </c>
      <c r="H27" s="39">
        <f t="shared" ca="1" si="7"/>
        <v>2</v>
      </c>
      <c r="I27" s="40">
        <f t="shared" ca="1" si="8"/>
        <v>5</v>
      </c>
      <c r="J27" s="93"/>
      <c r="K27" s="99"/>
      <c r="L27" s="100"/>
      <c r="M27" s="101"/>
      <c r="N27" s="20" t="str">
        <f t="shared" si="4"/>
        <v/>
      </c>
      <c r="O27" s="16" t="str">
        <f t="shared" si="4"/>
        <v xml:space="preserve"> </v>
      </c>
      <c r="P27" s="16" t="str">
        <f t="shared" si="4"/>
        <v/>
      </c>
      <c r="Q27" s="16" t="str">
        <f t="shared" si="4"/>
        <v/>
      </c>
      <c r="R27" s="16" t="str">
        <f t="shared" si="4"/>
        <v xml:space="preserve"> </v>
      </c>
      <c r="S27" s="16" t="str">
        <f t="shared" si="4"/>
        <v/>
      </c>
      <c r="T27" s="16" t="str">
        <f t="shared" si="4"/>
        <v/>
      </c>
      <c r="U27" s="16" t="str">
        <f t="shared" si="4"/>
        <v/>
      </c>
      <c r="V27" s="16" t="str">
        <f t="shared" si="4"/>
        <v/>
      </c>
      <c r="W27" s="16" t="str">
        <f t="shared" si="4"/>
        <v/>
      </c>
      <c r="X27" s="16" t="str">
        <f t="shared" si="4"/>
        <v/>
      </c>
      <c r="Y27" s="16" t="str">
        <f t="shared" si="4"/>
        <v/>
      </c>
      <c r="Z27" s="16" t="str">
        <f t="shared" si="4"/>
        <v/>
      </c>
      <c r="AA27" s="16" t="str">
        <f t="shared" si="4"/>
        <v/>
      </c>
      <c r="AB27" s="16" t="str">
        <f t="shared" si="4"/>
        <v/>
      </c>
      <c r="AC27" s="16" t="str">
        <f t="shared" ref="AC27:AE27" si="9">IF(ISNA(MATCH(COLUMN()-13,$B27:$E27,0)),"",IF($K27=MATCH(COLUMN()-13,$B27:$E27,0),3,IF($L27=MATCH(COLUMN()-13,$B27:$E27,0),2,IF($M27=MATCH(COLUMN()-13,$B27:$E27,0),1," "))))</f>
        <v/>
      </c>
      <c r="AD27" s="16" t="str">
        <f t="shared" si="9"/>
        <v/>
      </c>
      <c r="AE27" s="43" t="str">
        <f t="shared" si="9"/>
        <v xml:space="preserve"> </v>
      </c>
    </row>
    <row r="28" spans="2:31" ht="15.75" x14ac:dyDescent="0.25">
      <c r="K28" s="151" t="s">
        <v>4</v>
      </c>
      <c r="L28" s="152"/>
      <c r="M28" s="153"/>
      <c r="N28" s="102" t="str">
        <f t="shared" ref="N28:AB28" si="10">IF(SUM(N10:N27)&lt;1," ",SUM(N10:N27))</f>
        <v xml:space="preserve"> </v>
      </c>
      <c r="O28" s="103" t="str">
        <f t="shared" si="10"/>
        <v xml:space="preserve"> </v>
      </c>
      <c r="P28" s="103" t="str">
        <f t="shared" si="10"/>
        <v xml:space="preserve"> </v>
      </c>
      <c r="Q28" s="103" t="str">
        <f t="shared" si="10"/>
        <v xml:space="preserve"> </v>
      </c>
      <c r="R28" s="103" t="str">
        <f t="shared" si="10"/>
        <v xml:space="preserve"> </v>
      </c>
      <c r="S28" s="103" t="str">
        <f t="shared" si="10"/>
        <v xml:space="preserve"> </v>
      </c>
      <c r="T28" s="103" t="str">
        <f t="shared" si="10"/>
        <v xml:space="preserve"> </v>
      </c>
      <c r="U28" s="103" t="str">
        <f t="shared" si="10"/>
        <v xml:space="preserve"> </v>
      </c>
      <c r="V28" s="103" t="str">
        <f t="shared" si="10"/>
        <v xml:space="preserve"> </v>
      </c>
      <c r="W28" s="103" t="str">
        <f t="shared" si="10"/>
        <v xml:space="preserve"> </v>
      </c>
      <c r="X28" s="103" t="str">
        <f t="shared" si="10"/>
        <v xml:space="preserve"> </v>
      </c>
      <c r="Y28" s="103" t="str">
        <f t="shared" si="10"/>
        <v xml:space="preserve"> </v>
      </c>
      <c r="Z28" s="103" t="str">
        <f t="shared" si="10"/>
        <v xml:space="preserve"> </v>
      </c>
      <c r="AA28" s="103" t="str">
        <f t="shared" si="10"/>
        <v xml:space="preserve"> </v>
      </c>
      <c r="AB28" s="103" t="str">
        <f t="shared" si="10"/>
        <v xml:space="preserve"> </v>
      </c>
      <c r="AC28" s="103" t="str">
        <f t="shared" ref="AC28:AE28" si="11">IF(SUM(AC10:AC27)&lt;1," ",SUM(AC10:AC27))</f>
        <v xml:space="preserve"> </v>
      </c>
      <c r="AD28" s="103" t="str">
        <f t="shared" si="11"/>
        <v xml:space="preserve"> </v>
      </c>
      <c r="AE28" s="104" t="str">
        <f t="shared" si="11"/>
        <v xml:space="preserve"> </v>
      </c>
    </row>
    <row r="29" spans="2:31" ht="16.5" thickBot="1" x14ac:dyDescent="0.3">
      <c r="K29" s="141" t="s">
        <v>5</v>
      </c>
      <c r="L29" s="142"/>
      <c r="M29" s="143"/>
      <c r="N29" s="120" t="e">
        <f>RANK(N28,$N28:$AL28,0)</f>
        <v>#VALUE!</v>
      </c>
      <c r="O29" s="121" t="e">
        <f t="shared" ref="O29:AE29" si="12">RANK(O28,$N28:$AL28,0)</f>
        <v>#VALUE!</v>
      </c>
      <c r="P29" s="121" t="e">
        <f t="shared" si="12"/>
        <v>#VALUE!</v>
      </c>
      <c r="Q29" s="121" t="e">
        <f t="shared" si="12"/>
        <v>#VALUE!</v>
      </c>
      <c r="R29" s="121" t="e">
        <f t="shared" si="12"/>
        <v>#VALUE!</v>
      </c>
      <c r="S29" s="121" t="e">
        <f t="shared" si="12"/>
        <v>#VALUE!</v>
      </c>
      <c r="T29" s="121" t="e">
        <f t="shared" si="12"/>
        <v>#VALUE!</v>
      </c>
      <c r="U29" s="121" t="e">
        <f t="shared" si="12"/>
        <v>#VALUE!</v>
      </c>
      <c r="V29" s="121" t="e">
        <f t="shared" si="12"/>
        <v>#VALUE!</v>
      </c>
      <c r="W29" s="121" t="e">
        <f t="shared" si="12"/>
        <v>#VALUE!</v>
      </c>
      <c r="X29" s="121" t="e">
        <f t="shared" si="12"/>
        <v>#VALUE!</v>
      </c>
      <c r="Y29" s="121" t="e">
        <f t="shared" si="12"/>
        <v>#VALUE!</v>
      </c>
      <c r="Z29" s="121" t="e">
        <f t="shared" si="12"/>
        <v>#VALUE!</v>
      </c>
      <c r="AA29" s="121" t="e">
        <f t="shared" si="12"/>
        <v>#VALUE!</v>
      </c>
      <c r="AB29" s="121" t="e">
        <f t="shared" si="12"/>
        <v>#VALUE!</v>
      </c>
      <c r="AC29" s="121" t="e">
        <f t="shared" si="12"/>
        <v>#VALUE!</v>
      </c>
      <c r="AD29" s="121" t="e">
        <f t="shared" si="12"/>
        <v>#VALUE!</v>
      </c>
      <c r="AE29" s="122" t="e">
        <f t="shared" si="12"/>
        <v>#VALUE!</v>
      </c>
    </row>
    <row r="30" spans="2:31" x14ac:dyDescent="0.2">
      <c r="N30" s="7"/>
      <c r="O30" s="7"/>
      <c r="P30" s="7"/>
      <c r="Q30" s="7"/>
    </row>
    <row r="31" spans="2:31" s="31" customFormat="1" ht="135.75" customHeight="1" x14ac:dyDescent="0.2">
      <c r="N31" s="8" t="str">
        <f>+Names!$B$2</f>
        <v>Luke</v>
      </c>
      <c r="O31" s="8" t="str">
        <f>+Names!$B$3</f>
        <v>Ro</v>
      </c>
      <c r="P31" s="8" t="str">
        <f>+Names!$B$4</f>
        <v>Caleb</v>
      </c>
      <c r="Q31" s="8" t="str">
        <f>+Names!$B$5</f>
        <v>Zau</v>
      </c>
      <c r="R31" s="8" t="str">
        <f>+Names!$B$6</f>
        <v>Brady</v>
      </c>
      <c r="S31" s="8" t="str">
        <f>+Names!$B$7</f>
        <v>Theo</v>
      </c>
      <c r="T31" s="8" t="str">
        <f>+Names!$B$8</f>
        <v>Jonathan</v>
      </c>
      <c r="U31" s="8" t="str">
        <f>+Names!$B$9</f>
        <v>Brenton</v>
      </c>
      <c r="V31" s="8" t="str">
        <f>+Names!$B$10</f>
        <v>Jospe</v>
      </c>
      <c r="W31" s="8" t="str">
        <f>+Names!$B$11</f>
        <v>Emery</v>
      </c>
      <c r="X31" s="8" t="str">
        <f>+Names!$B$12</f>
        <v>Isaac</v>
      </c>
      <c r="Y31" s="8" t="str">
        <f>+Names!$B$13</f>
        <v>Alain</v>
      </c>
      <c r="Z31" s="8" t="str">
        <f>+Names!$B$14</f>
        <v>Silas</v>
      </c>
      <c r="AA31" s="8" t="str">
        <f>+Names!$B$15</f>
        <v>De</v>
      </c>
      <c r="AB31" s="8">
        <f>+Names!$B$19</f>
        <v>0</v>
      </c>
      <c r="AC31" s="8">
        <f>+Names!$B$20</f>
        <v>0</v>
      </c>
      <c r="AD31" s="8">
        <f>+Names!$B$18</f>
        <v>0</v>
      </c>
      <c r="AE31" s="8" t="e">
        <f>+Names!#REF!</f>
        <v>#REF!</v>
      </c>
    </row>
  </sheetData>
  <sheetProtection sheet="1" objects="1" scenarios="1" selectLockedCells="1"/>
  <mergeCells count="20">
    <mergeCell ref="M6:N6"/>
    <mergeCell ref="G8:I8"/>
    <mergeCell ref="K8:M8"/>
    <mergeCell ref="K28:M28"/>
    <mergeCell ref="K29:M29"/>
    <mergeCell ref="N8:AE8"/>
    <mergeCell ref="F4:G4"/>
    <mergeCell ref="M4:N4"/>
    <mergeCell ref="S4:U4"/>
    <mergeCell ref="F5:G5"/>
    <mergeCell ref="M5:N5"/>
    <mergeCell ref="S5:U5"/>
    <mergeCell ref="F3:G3"/>
    <mergeCell ref="M3:N3"/>
    <mergeCell ref="S3:U3"/>
    <mergeCell ref="F1:AB1"/>
    <mergeCell ref="F2:G2"/>
    <mergeCell ref="I2:L2"/>
    <mergeCell ref="M2:N2"/>
    <mergeCell ref="R2:U2"/>
  </mergeCells>
  <conditionalFormatting sqref="F10:F27">
    <cfRule type="expression" dxfId="374" priority="40" stopIfTrue="1">
      <formula>$H$2=F10</formula>
    </cfRule>
  </conditionalFormatting>
  <conditionalFormatting sqref="G10">
    <cfRule type="expression" dxfId="373" priority="22" stopIfTrue="1">
      <formula>$K$10=1</formula>
    </cfRule>
    <cfRule type="expression" dxfId="372" priority="23" stopIfTrue="1">
      <formula>$L$10=1</formula>
    </cfRule>
    <cfRule type="expression" dxfId="371" priority="24" stopIfTrue="1">
      <formula>$M$10=1</formula>
    </cfRule>
  </conditionalFormatting>
  <conditionalFormatting sqref="G11:G27">
    <cfRule type="expression" dxfId="370" priority="25" stopIfTrue="1">
      <formula>K11=1</formula>
    </cfRule>
    <cfRule type="expression" dxfId="369" priority="26" stopIfTrue="1">
      <formula>L11=1</formula>
    </cfRule>
    <cfRule type="expression" dxfId="368" priority="27" stopIfTrue="1">
      <formula>M11=1</formula>
    </cfRule>
  </conditionalFormatting>
  <conditionalFormatting sqref="H10:H27">
    <cfRule type="expression" dxfId="367" priority="28" stopIfTrue="1">
      <formula>K10=2</formula>
    </cfRule>
    <cfRule type="expression" dxfId="366" priority="29" stopIfTrue="1">
      <formula>L10=2</formula>
    </cfRule>
    <cfRule type="expression" dxfId="365" priority="30" stopIfTrue="1">
      <formula>M10=2</formula>
    </cfRule>
  </conditionalFormatting>
  <conditionalFormatting sqref="I10:I27">
    <cfRule type="expression" dxfId="364" priority="31" stopIfTrue="1">
      <formula>K10=3</formula>
    </cfRule>
    <cfRule type="expression" dxfId="363" priority="32" stopIfTrue="1">
      <formula>L10=3</formula>
    </cfRule>
    <cfRule type="expression" dxfId="362" priority="33" stopIfTrue="1">
      <formula>M10=3</formula>
    </cfRule>
  </conditionalFormatting>
  <conditionalFormatting sqref="I3:N6">
    <cfRule type="expression" dxfId="361" priority="37" stopIfTrue="1">
      <formula>$M3="1st"</formula>
    </cfRule>
    <cfRule type="expression" dxfId="360" priority="38" stopIfTrue="1">
      <formula>$M3="2nd"</formula>
    </cfRule>
    <cfRule type="expression" dxfId="359" priority="39" stopIfTrue="1">
      <formula>$M3="3rd"</formula>
    </cfRule>
  </conditionalFormatting>
  <conditionalFormatting sqref="J10:J27">
    <cfRule type="expression" dxfId="358" priority="34" stopIfTrue="1">
      <formula>K10=4</formula>
    </cfRule>
    <cfRule type="expression" dxfId="357" priority="35" stopIfTrue="1">
      <formula>L10=4</formula>
    </cfRule>
    <cfRule type="expression" dxfId="356" priority="36" stopIfTrue="1">
      <formula>M10=4</formula>
    </cfRule>
  </conditionalFormatting>
  <conditionalFormatting sqref="N10:AE27">
    <cfRule type="cellIs" dxfId="355" priority="10" stopIfTrue="1" operator="equal">
      <formula>3</formula>
    </cfRule>
    <cfRule type="cellIs" dxfId="354" priority="11" stopIfTrue="1" operator="equal">
      <formula>2</formula>
    </cfRule>
    <cfRule type="cellIs" dxfId="353" priority="12" stopIfTrue="1" operator="equal">
      <formula>1</formula>
    </cfRule>
  </conditionalFormatting>
  <conditionalFormatting sqref="N29:AE29">
    <cfRule type="cellIs" dxfId="352" priority="1" operator="equal">
      <formula>3</formula>
    </cfRule>
    <cfRule type="cellIs" dxfId="351" priority="2" operator="equal">
      <formula>2</formula>
    </cfRule>
    <cfRule type="cellIs" dxfId="350" priority="3" operator="equal">
      <formula>1</formula>
    </cfRule>
  </conditionalFormatting>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D30"/>
  <sheetViews>
    <sheetView showGridLines="0" zoomScaleNormal="100" workbookViewId="0">
      <selection activeCell="H2" sqref="H2"/>
    </sheetView>
  </sheetViews>
  <sheetFormatPr defaultColWidth="9.140625" defaultRowHeight="12.75" x14ac:dyDescent="0.2"/>
  <cols>
    <col min="1" max="1" width="8.425781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0" s="29" customFormat="1" ht="22.5" x14ac:dyDescent="0.45">
      <c r="F2" s="133" t="s">
        <v>2</v>
      </c>
      <c r="G2" s="134"/>
      <c r="H2" s="47">
        <v>1</v>
      </c>
      <c r="I2" s="135" t="str">
        <f>+Names!$C$1</f>
        <v>Driver</v>
      </c>
      <c r="J2" s="136"/>
      <c r="K2" s="136"/>
      <c r="L2" s="137"/>
      <c r="M2" s="130" t="s">
        <v>8</v>
      </c>
      <c r="N2" s="130"/>
      <c r="R2" s="138" t="s">
        <v>12</v>
      </c>
      <c r="S2" s="139"/>
      <c r="T2" s="139"/>
      <c r="U2" s="140"/>
    </row>
    <row r="3" spans="2:30"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55"/>
      <c r="G6" s="56"/>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6"/>
      <c r="J8" s="87"/>
      <c r="K8" s="147" t="s">
        <v>34</v>
      </c>
      <c r="L8" s="147"/>
      <c r="M8" s="148"/>
      <c r="N8" s="144" t="s">
        <v>13</v>
      </c>
      <c r="O8" s="145"/>
      <c r="P8" s="145"/>
      <c r="Q8" s="145"/>
      <c r="R8" s="145"/>
      <c r="S8" s="145"/>
      <c r="T8" s="145"/>
      <c r="U8" s="145"/>
      <c r="V8" s="145"/>
      <c r="W8" s="145"/>
      <c r="X8" s="145"/>
      <c r="Y8" s="145"/>
      <c r="Z8" s="145"/>
      <c r="AA8" s="145"/>
      <c r="AB8" s="145"/>
      <c r="AC8" s="145"/>
      <c r="AD8" s="146"/>
    </row>
    <row r="9" spans="2:30"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c r="AD9" s="58">
        <f>+Names!$A$18</f>
        <v>0</v>
      </c>
    </row>
    <row r="10" spans="2:30" s="30" customFormat="1" ht="15.75" x14ac:dyDescent="0.25">
      <c r="B10" s="36">
        <v>1</v>
      </c>
      <c r="C10" s="36">
        <v>3</v>
      </c>
      <c r="D10" s="36">
        <v>6</v>
      </c>
      <c r="E10" s="36"/>
      <c r="F10" s="11">
        <v>1</v>
      </c>
      <c r="G10" s="37">
        <f ca="1">INDIRECT(ADDRESS(B10+1,1,,,"Names"))</f>
        <v>1</v>
      </c>
      <c r="H10" s="18">
        <f t="shared" ref="H10:I15"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D15"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89" t="str">
        <f t="shared" si="1"/>
        <v/>
      </c>
      <c r="AC10" s="89" t="str">
        <f t="shared" si="1"/>
        <v/>
      </c>
      <c r="AD10" s="90" t="str">
        <f t="shared" si="1"/>
        <v/>
      </c>
    </row>
    <row r="11" spans="2:30" s="30" customFormat="1" ht="15.75" x14ac:dyDescent="0.25">
      <c r="B11" s="36">
        <v>2</v>
      </c>
      <c r="C11" s="36">
        <v>4</v>
      </c>
      <c r="D11" s="36">
        <v>7</v>
      </c>
      <c r="E11" s="36"/>
      <c r="F11" s="12">
        <v>2</v>
      </c>
      <c r="G11" s="4">
        <f t="shared" ref="G11:G15" ca="1" si="2">INDIRECT(ADDRESS(B11+1,1,,,"Names"))</f>
        <v>2</v>
      </c>
      <c r="H11" s="19">
        <f t="shared" ca="1" si="0"/>
        <v>4</v>
      </c>
      <c r="I11" s="69">
        <f t="shared" ca="1" si="0"/>
        <v>7</v>
      </c>
      <c r="J11" s="92"/>
      <c r="K11" s="97"/>
      <c r="L11" s="76"/>
      <c r="M11" s="98"/>
      <c r="N11" s="32" t="str">
        <f t="shared" ref="N11:AC26" si="3">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15" t="str">
        <f t="shared" si="1"/>
        <v/>
      </c>
      <c r="AD11" s="5" t="str">
        <f t="shared" si="1"/>
        <v/>
      </c>
    </row>
    <row r="12" spans="2:30" s="30" customFormat="1" ht="15.75" x14ac:dyDescent="0.25">
      <c r="B12" s="36">
        <v>3</v>
      </c>
      <c r="C12" s="36">
        <v>5</v>
      </c>
      <c r="D12" s="36">
        <v>8</v>
      </c>
      <c r="E12" s="36"/>
      <c r="F12" s="12">
        <v>3</v>
      </c>
      <c r="G12" s="4">
        <f t="shared" ca="1" si="2"/>
        <v>3</v>
      </c>
      <c r="H12" s="19">
        <f t="shared" ca="1" si="0"/>
        <v>5</v>
      </c>
      <c r="I12" s="69">
        <f t="shared" ca="1" si="0"/>
        <v>8</v>
      </c>
      <c r="J12" s="92"/>
      <c r="K12" s="97"/>
      <c r="L12" s="76"/>
      <c r="M12" s="98"/>
      <c r="N12" s="32" t="str">
        <f t="shared" si="3"/>
        <v/>
      </c>
      <c r="O12" s="15" t="str">
        <f t="shared" si="1"/>
        <v/>
      </c>
      <c r="P12" s="15" t="str">
        <f t="shared" si="1"/>
        <v xml:space="preserve"> </v>
      </c>
      <c r="Q12" s="15" t="str">
        <f t="shared" si="1"/>
        <v/>
      </c>
      <c r="R12" s="15" t="str">
        <f t="shared" si="1"/>
        <v xml:space="preserve"> </v>
      </c>
      <c r="S12" s="15" t="str">
        <f t="shared" si="1"/>
        <v/>
      </c>
      <c r="T12" s="15" t="str">
        <f t="shared" si="1"/>
        <v/>
      </c>
      <c r="U12" s="15" t="str">
        <f t="shared" si="1"/>
        <v xml:space="preserve"> </v>
      </c>
      <c r="V12" s="15" t="str">
        <f t="shared" si="1"/>
        <v/>
      </c>
      <c r="W12" s="15" t="str">
        <f t="shared" si="1"/>
        <v/>
      </c>
      <c r="X12" s="15" t="str">
        <f t="shared" si="1"/>
        <v/>
      </c>
      <c r="Y12" s="15" t="str">
        <f t="shared" si="1"/>
        <v/>
      </c>
      <c r="Z12" s="15" t="str">
        <f t="shared" si="1"/>
        <v/>
      </c>
      <c r="AA12" s="15" t="str">
        <f t="shared" si="1"/>
        <v/>
      </c>
      <c r="AB12" s="15" t="str">
        <f t="shared" si="1"/>
        <v/>
      </c>
      <c r="AC12" s="15" t="str">
        <f t="shared" si="1"/>
        <v/>
      </c>
      <c r="AD12" s="5" t="str">
        <f t="shared" si="1"/>
        <v/>
      </c>
    </row>
    <row r="13" spans="2:30" s="30" customFormat="1" ht="15.75" x14ac:dyDescent="0.25">
      <c r="B13" s="36">
        <v>4</v>
      </c>
      <c r="C13" s="36">
        <v>6</v>
      </c>
      <c r="D13" s="36">
        <v>9</v>
      </c>
      <c r="E13" s="36"/>
      <c r="F13" s="12">
        <v>4</v>
      </c>
      <c r="G13" s="4">
        <f t="shared" ca="1" si="2"/>
        <v>4</v>
      </c>
      <c r="H13" s="19">
        <f t="shared" ca="1" si="0"/>
        <v>6</v>
      </c>
      <c r="I13" s="69">
        <f t="shared" ca="1" si="0"/>
        <v>9</v>
      </c>
      <c r="J13" s="92"/>
      <c r="K13" s="97"/>
      <c r="L13" s="76"/>
      <c r="M13" s="98"/>
      <c r="N13" s="32" t="str">
        <f t="shared" si="3"/>
        <v/>
      </c>
      <c r="O13" s="15" t="str">
        <f t="shared" si="1"/>
        <v/>
      </c>
      <c r="P13" s="15" t="str">
        <f t="shared" si="1"/>
        <v/>
      </c>
      <c r="Q13" s="15" t="str">
        <f t="shared" si="1"/>
        <v xml:space="preserve"> </v>
      </c>
      <c r="R13" s="15" t="str">
        <f t="shared" si="1"/>
        <v/>
      </c>
      <c r="S13" s="15" t="str">
        <f t="shared" si="1"/>
        <v xml:space="preserve"> </v>
      </c>
      <c r="T13" s="15" t="str">
        <f t="shared" si="1"/>
        <v/>
      </c>
      <c r="U13" s="15" t="str">
        <f t="shared" si="1"/>
        <v/>
      </c>
      <c r="V13" s="15" t="str">
        <f t="shared" si="1"/>
        <v xml:space="preserve"> </v>
      </c>
      <c r="W13" s="15" t="str">
        <f t="shared" si="1"/>
        <v/>
      </c>
      <c r="X13" s="15" t="str">
        <f t="shared" si="1"/>
        <v/>
      </c>
      <c r="Y13" s="15" t="str">
        <f t="shared" si="1"/>
        <v/>
      </c>
      <c r="Z13" s="15" t="str">
        <f t="shared" si="1"/>
        <v/>
      </c>
      <c r="AA13" s="15" t="str">
        <f t="shared" si="1"/>
        <v/>
      </c>
      <c r="AB13" s="15" t="str">
        <f t="shared" si="1"/>
        <v/>
      </c>
      <c r="AC13" s="15" t="str">
        <f t="shared" si="1"/>
        <v/>
      </c>
      <c r="AD13" s="5" t="str">
        <f t="shared" si="1"/>
        <v/>
      </c>
    </row>
    <row r="14" spans="2:30" s="30" customFormat="1" ht="15.75" x14ac:dyDescent="0.25">
      <c r="B14" s="36">
        <v>5</v>
      </c>
      <c r="C14" s="36">
        <v>7</v>
      </c>
      <c r="D14" s="36">
        <v>10</v>
      </c>
      <c r="E14" s="36"/>
      <c r="F14" s="12">
        <v>5</v>
      </c>
      <c r="G14" s="4">
        <f t="shared" ca="1" si="2"/>
        <v>5</v>
      </c>
      <c r="H14" s="19">
        <f t="shared" ca="1" si="0"/>
        <v>7</v>
      </c>
      <c r="I14" s="69">
        <f t="shared" ca="1" si="0"/>
        <v>13</v>
      </c>
      <c r="J14" s="92"/>
      <c r="K14" s="97"/>
      <c r="L14" s="76"/>
      <c r="M14" s="98"/>
      <c r="N14" s="32" t="str">
        <f t="shared" si="3"/>
        <v/>
      </c>
      <c r="O14" s="15" t="str">
        <f t="shared" si="1"/>
        <v/>
      </c>
      <c r="P14" s="15" t="str">
        <f t="shared" si="1"/>
        <v/>
      </c>
      <c r="Q14" s="15" t="str">
        <f t="shared" si="1"/>
        <v/>
      </c>
      <c r="R14" s="15" t="str">
        <f t="shared" si="1"/>
        <v xml:space="preserve"> </v>
      </c>
      <c r="S14" s="15" t="str">
        <f t="shared" si="1"/>
        <v/>
      </c>
      <c r="T14" s="15" t="str">
        <f t="shared" si="1"/>
        <v xml:space="preserve"> </v>
      </c>
      <c r="U14" s="15" t="str">
        <f t="shared" si="1"/>
        <v/>
      </c>
      <c r="V14" s="15" t="str">
        <f t="shared" si="1"/>
        <v/>
      </c>
      <c r="W14" s="15" t="str">
        <f t="shared" si="1"/>
        <v xml:space="preserve"> </v>
      </c>
      <c r="X14" s="15" t="str">
        <f t="shared" si="1"/>
        <v/>
      </c>
      <c r="Y14" s="15" t="str">
        <f t="shared" si="1"/>
        <v/>
      </c>
      <c r="Z14" s="15" t="str">
        <f t="shared" si="1"/>
        <v/>
      </c>
      <c r="AA14" s="15" t="str">
        <f t="shared" si="1"/>
        <v/>
      </c>
      <c r="AB14" s="15" t="str">
        <f t="shared" si="1"/>
        <v/>
      </c>
      <c r="AC14" s="15" t="str">
        <f t="shared" si="1"/>
        <v/>
      </c>
      <c r="AD14" s="5" t="str">
        <f t="shared" si="1"/>
        <v/>
      </c>
    </row>
    <row r="15" spans="2:30" s="30" customFormat="1" ht="15.75" x14ac:dyDescent="0.25">
      <c r="B15" s="36">
        <v>6</v>
      </c>
      <c r="C15" s="36">
        <v>8</v>
      </c>
      <c r="D15" s="36">
        <v>11</v>
      </c>
      <c r="E15" s="36"/>
      <c r="F15" s="12">
        <v>6</v>
      </c>
      <c r="G15" s="4">
        <f t="shared" ca="1" si="2"/>
        <v>6</v>
      </c>
      <c r="H15" s="19">
        <f t="shared" ca="1" si="0"/>
        <v>8</v>
      </c>
      <c r="I15" s="69">
        <f t="shared" ca="1" si="0"/>
        <v>14</v>
      </c>
      <c r="J15" s="92"/>
      <c r="K15" s="97"/>
      <c r="L15" s="76"/>
      <c r="M15" s="98"/>
      <c r="N15" s="32" t="str">
        <f t="shared" si="3"/>
        <v/>
      </c>
      <c r="O15" s="15" t="str">
        <f t="shared" si="1"/>
        <v/>
      </c>
      <c r="P15" s="15" t="str">
        <f t="shared" si="1"/>
        <v/>
      </c>
      <c r="Q15" s="15" t="str">
        <f t="shared" si="1"/>
        <v/>
      </c>
      <c r="R15" s="15" t="str">
        <f t="shared" si="1"/>
        <v/>
      </c>
      <c r="S15" s="15" t="str">
        <f t="shared" si="1"/>
        <v xml:space="preserve"> </v>
      </c>
      <c r="T15" s="15" t="str">
        <f t="shared" si="1"/>
        <v/>
      </c>
      <c r="U15" s="15" t="str">
        <f t="shared" si="1"/>
        <v xml:space="preserve"> </v>
      </c>
      <c r="V15" s="15" t="str">
        <f t="shared" si="1"/>
        <v/>
      </c>
      <c r="W15" s="15" t="str">
        <f t="shared" si="1"/>
        <v/>
      </c>
      <c r="X15" s="15" t="str">
        <f t="shared" si="1"/>
        <v xml:space="preserve"> </v>
      </c>
      <c r="Y15" s="15" t="str">
        <f t="shared" si="1"/>
        <v/>
      </c>
      <c r="Z15" s="15" t="str">
        <f t="shared" si="1"/>
        <v/>
      </c>
      <c r="AA15" s="15" t="str">
        <f t="shared" si="1"/>
        <v/>
      </c>
      <c r="AB15" s="15" t="str">
        <f t="shared" si="1"/>
        <v/>
      </c>
      <c r="AC15" s="15" t="str">
        <f t="shared" si="1"/>
        <v/>
      </c>
      <c r="AD15" s="5" t="str">
        <f t="shared" si="1"/>
        <v/>
      </c>
    </row>
    <row r="16" spans="2:30" s="30" customFormat="1" ht="15.75" x14ac:dyDescent="0.25">
      <c r="B16" s="36">
        <v>7</v>
      </c>
      <c r="C16" s="36">
        <v>9</v>
      </c>
      <c r="D16" s="36">
        <v>12</v>
      </c>
      <c r="E16" s="36"/>
      <c r="F16" s="12">
        <v>7</v>
      </c>
      <c r="G16" s="4">
        <f t="shared" ref="G16:G26" ca="1" si="4">INDIRECT(ADDRESS(B16+1,1,,,"Names"))</f>
        <v>7</v>
      </c>
      <c r="H16" s="19">
        <f t="shared" ref="H16:H26" ca="1" si="5">INDIRECT(ADDRESS(C16+1,1,,,"Names"))</f>
        <v>9</v>
      </c>
      <c r="I16" s="69">
        <f t="shared" ref="I16:I26" ca="1" si="6">INDIRECT(ADDRESS(D16+1,1,,,"Names"))</f>
        <v>23</v>
      </c>
      <c r="J16" s="92"/>
      <c r="K16" s="97"/>
      <c r="L16" s="76"/>
      <c r="M16" s="98"/>
      <c r="N16" s="32" t="str">
        <f t="shared" si="3"/>
        <v/>
      </c>
      <c r="O16" s="15" t="str">
        <f t="shared" si="3"/>
        <v/>
      </c>
      <c r="P16" s="15" t="str">
        <f t="shared" si="3"/>
        <v/>
      </c>
      <c r="Q16" s="15" t="str">
        <f t="shared" si="3"/>
        <v/>
      </c>
      <c r="R16" s="15" t="str">
        <f t="shared" si="3"/>
        <v/>
      </c>
      <c r="S16" s="15" t="str">
        <f t="shared" si="3"/>
        <v/>
      </c>
      <c r="T16" s="15" t="str">
        <f t="shared" si="3"/>
        <v xml:space="preserve"> </v>
      </c>
      <c r="U16" s="15" t="str">
        <f t="shared" si="3"/>
        <v/>
      </c>
      <c r="V16" s="15" t="str">
        <f t="shared" si="3"/>
        <v xml:space="preserve"> </v>
      </c>
      <c r="W16" s="15" t="str">
        <f t="shared" si="3"/>
        <v/>
      </c>
      <c r="X16" s="15" t="str">
        <f t="shared" si="3"/>
        <v/>
      </c>
      <c r="Y16" s="15" t="str">
        <f t="shared" si="3"/>
        <v xml:space="preserve"> </v>
      </c>
      <c r="Z16" s="15" t="str">
        <f t="shared" si="3"/>
        <v/>
      </c>
      <c r="AA16" s="15" t="str">
        <f t="shared" si="3"/>
        <v/>
      </c>
      <c r="AB16" s="15" t="str">
        <f t="shared" si="3"/>
        <v/>
      </c>
      <c r="AC16" s="15" t="str">
        <f t="shared" si="3"/>
        <v/>
      </c>
      <c r="AD16" s="5" t="str">
        <f t="shared" ref="O16:AD26" si="7">IF(ISNA(MATCH(COLUMN()-13,$B16:$E16,0)),"",IF($K16=MATCH(COLUMN()-13,$B16:$E16,0),3,IF($L16=MATCH(COLUMN()-13,$B16:$E16,0),2,IF($M16=MATCH(COLUMN()-13,$B16:$E16,0),1," "))))</f>
        <v/>
      </c>
    </row>
    <row r="17" spans="2:30" s="30" customFormat="1" ht="15.75" x14ac:dyDescent="0.25">
      <c r="B17" s="36">
        <v>8</v>
      </c>
      <c r="C17" s="36">
        <v>10</v>
      </c>
      <c r="D17" s="36">
        <v>13</v>
      </c>
      <c r="E17" s="36"/>
      <c r="F17" s="12">
        <v>8</v>
      </c>
      <c r="G17" s="4">
        <f t="shared" ca="1" si="4"/>
        <v>8</v>
      </c>
      <c r="H17" s="19">
        <f t="shared" ca="1" si="5"/>
        <v>13</v>
      </c>
      <c r="I17" s="69">
        <f t="shared" ca="1" si="6"/>
        <v>30</v>
      </c>
      <c r="J17" s="92"/>
      <c r="K17" s="97"/>
      <c r="L17" s="76"/>
      <c r="M17" s="98"/>
      <c r="N17" s="32" t="str">
        <f t="shared" si="3"/>
        <v/>
      </c>
      <c r="O17" s="15" t="str">
        <f t="shared" si="7"/>
        <v/>
      </c>
      <c r="P17" s="15" t="str">
        <f t="shared" si="7"/>
        <v/>
      </c>
      <c r="Q17" s="15" t="str">
        <f t="shared" si="7"/>
        <v/>
      </c>
      <c r="R17" s="15" t="str">
        <f t="shared" si="7"/>
        <v/>
      </c>
      <c r="S17" s="15" t="str">
        <f t="shared" si="7"/>
        <v/>
      </c>
      <c r="T17" s="15" t="str">
        <f t="shared" si="7"/>
        <v/>
      </c>
      <c r="U17" s="15" t="str">
        <f t="shared" si="7"/>
        <v xml:space="preserve"> </v>
      </c>
      <c r="V17" s="15" t="str">
        <f t="shared" si="7"/>
        <v/>
      </c>
      <c r="W17" s="15" t="str">
        <f t="shared" si="7"/>
        <v xml:space="preserve"> </v>
      </c>
      <c r="X17" s="15" t="str">
        <f t="shared" si="7"/>
        <v/>
      </c>
      <c r="Y17" s="15" t="str">
        <f t="shared" si="7"/>
        <v/>
      </c>
      <c r="Z17" s="15" t="str">
        <f t="shared" si="7"/>
        <v xml:space="preserve"> </v>
      </c>
      <c r="AA17" s="15" t="str">
        <f t="shared" si="7"/>
        <v/>
      </c>
      <c r="AB17" s="15" t="str">
        <f t="shared" si="7"/>
        <v/>
      </c>
      <c r="AC17" s="15" t="str">
        <f t="shared" si="7"/>
        <v/>
      </c>
      <c r="AD17" s="5" t="str">
        <f t="shared" si="7"/>
        <v/>
      </c>
    </row>
    <row r="18" spans="2:30" s="30" customFormat="1" ht="15.75" x14ac:dyDescent="0.25">
      <c r="B18" s="36">
        <v>9</v>
      </c>
      <c r="C18" s="36">
        <v>11</v>
      </c>
      <c r="D18" s="36">
        <v>14</v>
      </c>
      <c r="E18" s="36"/>
      <c r="F18" s="12">
        <v>9</v>
      </c>
      <c r="G18" s="4">
        <f t="shared" ca="1" si="4"/>
        <v>9</v>
      </c>
      <c r="H18" s="19">
        <f t="shared" ca="1" si="5"/>
        <v>14</v>
      </c>
      <c r="I18" s="69">
        <f t="shared" ca="1" si="6"/>
        <v>37</v>
      </c>
      <c r="J18" s="92"/>
      <c r="K18" s="97"/>
      <c r="L18" s="76"/>
      <c r="M18" s="98"/>
      <c r="N18" s="32" t="str">
        <f t="shared" si="3"/>
        <v/>
      </c>
      <c r="O18" s="15" t="str">
        <f t="shared" si="7"/>
        <v/>
      </c>
      <c r="P18" s="15" t="str">
        <f t="shared" si="7"/>
        <v/>
      </c>
      <c r="Q18" s="15" t="str">
        <f t="shared" si="7"/>
        <v/>
      </c>
      <c r="R18" s="15" t="str">
        <f t="shared" si="7"/>
        <v/>
      </c>
      <c r="S18" s="15" t="str">
        <f t="shared" si="7"/>
        <v/>
      </c>
      <c r="T18" s="15" t="str">
        <f t="shared" si="7"/>
        <v/>
      </c>
      <c r="U18" s="15" t="str">
        <f t="shared" si="7"/>
        <v/>
      </c>
      <c r="V18" s="15" t="str">
        <f t="shared" si="7"/>
        <v xml:space="preserve"> </v>
      </c>
      <c r="W18" s="15" t="str">
        <f t="shared" si="7"/>
        <v/>
      </c>
      <c r="X18" s="15" t="str">
        <f t="shared" si="7"/>
        <v xml:space="preserve"> </v>
      </c>
      <c r="Y18" s="15" t="str">
        <f t="shared" si="7"/>
        <v/>
      </c>
      <c r="Z18" s="15" t="str">
        <f t="shared" si="7"/>
        <v/>
      </c>
      <c r="AA18" s="15" t="str">
        <f t="shared" si="7"/>
        <v xml:space="preserve"> </v>
      </c>
      <c r="AB18" s="15" t="str">
        <f t="shared" si="7"/>
        <v/>
      </c>
      <c r="AC18" s="15" t="str">
        <f t="shared" si="7"/>
        <v/>
      </c>
      <c r="AD18" s="5" t="str">
        <f t="shared" si="7"/>
        <v/>
      </c>
    </row>
    <row r="19" spans="2:30" s="30" customFormat="1" ht="15.75" x14ac:dyDescent="0.25">
      <c r="B19" s="36">
        <v>10</v>
      </c>
      <c r="C19" s="36">
        <v>12</v>
      </c>
      <c r="D19" s="36">
        <v>15</v>
      </c>
      <c r="E19" s="36"/>
      <c r="F19" s="12">
        <v>10</v>
      </c>
      <c r="G19" s="4">
        <f t="shared" ca="1" si="4"/>
        <v>13</v>
      </c>
      <c r="H19" s="19">
        <f t="shared" ca="1" si="5"/>
        <v>23</v>
      </c>
      <c r="I19" s="69">
        <f t="shared" ca="1" si="6"/>
        <v>49</v>
      </c>
      <c r="J19" s="92"/>
      <c r="K19" s="97"/>
      <c r="L19" s="76"/>
      <c r="M19" s="98"/>
      <c r="N19" s="32" t="str">
        <f t="shared" si="3"/>
        <v/>
      </c>
      <c r="O19" s="15" t="str">
        <f t="shared" si="7"/>
        <v/>
      </c>
      <c r="P19" s="15" t="str">
        <f t="shared" si="7"/>
        <v/>
      </c>
      <c r="Q19" s="15" t="str">
        <f t="shared" si="7"/>
        <v/>
      </c>
      <c r="R19" s="15" t="str">
        <f t="shared" si="7"/>
        <v/>
      </c>
      <c r="S19" s="15" t="str">
        <f t="shared" si="7"/>
        <v/>
      </c>
      <c r="T19" s="15" t="str">
        <f t="shared" si="7"/>
        <v/>
      </c>
      <c r="U19" s="15" t="str">
        <f t="shared" si="7"/>
        <v/>
      </c>
      <c r="V19" s="15" t="str">
        <f t="shared" si="7"/>
        <v/>
      </c>
      <c r="W19" s="15" t="str">
        <f t="shared" si="7"/>
        <v xml:space="preserve"> </v>
      </c>
      <c r="X19" s="15" t="str">
        <f t="shared" si="7"/>
        <v/>
      </c>
      <c r="Y19" s="15" t="str">
        <f t="shared" si="7"/>
        <v xml:space="preserve"> </v>
      </c>
      <c r="Z19" s="15" t="str">
        <f t="shared" si="7"/>
        <v/>
      </c>
      <c r="AA19" s="15" t="str">
        <f t="shared" si="7"/>
        <v/>
      </c>
      <c r="AB19" s="15" t="str">
        <f t="shared" si="7"/>
        <v xml:space="preserve"> </v>
      </c>
      <c r="AC19" s="15" t="str">
        <f t="shared" si="7"/>
        <v/>
      </c>
      <c r="AD19" s="5" t="str">
        <f t="shared" si="7"/>
        <v/>
      </c>
    </row>
    <row r="20" spans="2:30" s="30" customFormat="1" ht="15.75" x14ac:dyDescent="0.25">
      <c r="B20" s="36">
        <v>11</v>
      </c>
      <c r="C20" s="36">
        <v>13</v>
      </c>
      <c r="D20" s="36">
        <v>16</v>
      </c>
      <c r="E20" s="36"/>
      <c r="F20" s="12">
        <v>11</v>
      </c>
      <c r="G20" s="4">
        <f t="shared" ca="1" si="4"/>
        <v>14</v>
      </c>
      <c r="H20" s="19">
        <f t="shared" ca="1" si="5"/>
        <v>30</v>
      </c>
      <c r="I20" s="69">
        <f t="shared" ca="1" si="6"/>
        <v>99</v>
      </c>
      <c r="J20" s="92"/>
      <c r="K20" s="97"/>
      <c r="L20" s="76"/>
      <c r="M20" s="98"/>
      <c r="N20" s="32" t="str">
        <f t="shared" si="3"/>
        <v/>
      </c>
      <c r="O20" s="15" t="str">
        <f t="shared" si="7"/>
        <v/>
      </c>
      <c r="P20" s="15" t="str">
        <f t="shared" si="7"/>
        <v/>
      </c>
      <c r="Q20" s="15" t="str">
        <f t="shared" si="7"/>
        <v/>
      </c>
      <c r="R20" s="15" t="str">
        <f t="shared" si="7"/>
        <v/>
      </c>
      <c r="S20" s="15" t="str">
        <f t="shared" si="7"/>
        <v/>
      </c>
      <c r="T20" s="15" t="str">
        <f t="shared" si="7"/>
        <v/>
      </c>
      <c r="U20" s="15" t="str">
        <f t="shared" si="7"/>
        <v/>
      </c>
      <c r="V20" s="15" t="str">
        <f t="shared" si="7"/>
        <v/>
      </c>
      <c r="W20" s="15" t="str">
        <f t="shared" si="7"/>
        <v/>
      </c>
      <c r="X20" s="15" t="str">
        <f t="shared" si="7"/>
        <v xml:space="preserve"> </v>
      </c>
      <c r="Y20" s="15" t="str">
        <f t="shared" si="7"/>
        <v/>
      </c>
      <c r="Z20" s="15" t="str">
        <f t="shared" si="7"/>
        <v xml:space="preserve"> </v>
      </c>
      <c r="AA20" s="15" t="str">
        <f t="shared" si="7"/>
        <v/>
      </c>
      <c r="AB20" s="15" t="str">
        <f t="shared" si="7"/>
        <v/>
      </c>
      <c r="AC20" s="15" t="str">
        <f t="shared" si="7"/>
        <v xml:space="preserve"> </v>
      </c>
      <c r="AD20" s="5" t="str">
        <f t="shared" si="7"/>
        <v/>
      </c>
    </row>
    <row r="21" spans="2:30" s="30" customFormat="1" ht="15.75" x14ac:dyDescent="0.25">
      <c r="B21" s="36">
        <v>12</v>
      </c>
      <c r="C21" s="36">
        <v>14</v>
      </c>
      <c r="D21" s="36">
        <v>17</v>
      </c>
      <c r="E21" s="36"/>
      <c r="F21" s="12">
        <v>12</v>
      </c>
      <c r="G21" s="4">
        <f t="shared" ca="1" si="4"/>
        <v>23</v>
      </c>
      <c r="H21" s="19">
        <f t="shared" ca="1" si="5"/>
        <v>37</v>
      </c>
      <c r="I21" s="69">
        <f t="shared" ca="1" si="6"/>
        <v>0</v>
      </c>
      <c r="J21" s="92"/>
      <c r="K21" s="97"/>
      <c r="L21" s="76"/>
      <c r="M21" s="98"/>
      <c r="N21" s="32" t="str">
        <f t="shared" si="3"/>
        <v/>
      </c>
      <c r="O21" s="15" t="str">
        <f t="shared" si="7"/>
        <v/>
      </c>
      <c r="P21" s="15" t="str">
        <f t="shared" si="7"/>
        <v/>
      </c>
      <c r="Q21" s="15" t="str">
        <f t="shared" si="7"/>
        <v/>
      </c>
      <c r="R21" s="15" t="str">
        <f t="shared" si="7"/>
        <v/>
      </c>
      <c r="S21" s="15" t="str">
        <f t="shared" si="7"/>
        <v/>
      </c>
      <c r="T21" s="15" t="str">
        <f t="shared" si="7"/>
        <v/>
      </c>
      <c r="U21" s="15" t="str">
        <f t="shared" si="7"/>
        <v/>
      </c>
      <c r="V21" s="15" t="str">
        <f t="shared" si="7"/>
        <v/>
      </c>
      <c r="W21" s="15" t="str">
        <f t="shared" si="7"/>
        <v/>
      </c>
      <c r="X21" s="15" t="str">
        <f t="shared" si="7"/>
        <v/>
      </c>
      <c r="Y21" s="15" t="str">
        <f t="shared" si="7"/>
        <v xml:space="preserve"> </v>
      </c>
      <c r="Z21" s="15" t="str">
        <f t="shared" si="7"/>
        <v/>
      </c>
      <c r="AA21" s="15" t="str">
        <f t="shared" si="7"/>
        <v xml:space="preserve"> </v>
      </c>
      <c r="AB21" s="15" t="str">
        <f t="shared" si="7"/>
        <v/>
      </c>
      <c r="AC21" s="15" t="str">
        <f t="shared" si="7"/>
        <v/>
      </c>
      <c r="AD21" s="5" t="str">
        <f t="shared" si="7"/>
        <v xml:space="preserve"> </v>
      </c>
    </row>
    <row r="22" spans="2:30" s="30" customFormat="1" ht="15.75" x14ac:dyDescent="0.25">
      <c r="B22" s="36">
        <v>13</v>
      </c>
      <c r="C22" s="36">
        <v>15</v>
      </c>
      <c r="D22" s="36">
        <v>1</v>
      </c>
      <c r="E22" s="36"/>
      <c r="F22" s="12">
        <v>13</v>
      </c>
      <c r="G22" s="4">
        <f t="shared" ca="1" si="4"/>
        <v>30</v>
      </c>
      <c r="H22" s="19">
        <f t="shared" ca="1" si="5"/>
        <v>49</v>
      </c>
      <c r="I22" s="69">
        <f t="shared" ca="1" si="6"/>
        <v>1</v>
      </c>
      <c r="J22" s="92"/>
      <c r="K22" s="97"/>
      <c r="L22" s="76"/>
      <c r="M22" s="98"/>
      <c r="N22" s="32" t="str">
        <f t="shared" si="3"/>
        <v xml:space="preserve"> </v>
      </c>
      <c r="O22" s="15" t="str">
        <f t="shared" si="7"/>
        <v/>
      </c>
      <c r="P22" s="15" t="str">
        <f t="shared" si="7"/>
        <v/>
      </c>
      <c r="Q22" s="15" t="str">
        <f t="shared" si="7"/>
        <v/>
      </c>
      <c r="R22" s="15" t="str">
        <f t="shared" si="7"/>
        <v/>
      </c>
      <c r="S22" s="15" t="str">
        <f t="shared" si="7"/>
        <v/>
      </c>
      <c r="T22" s="15" t="str">
        <f t="shared" si="7"/>
        <v/>
      </c>
      <c r="U22" s="15" t="str">
        <f t="shared" si="7"/>
        <v/>
      </c>
      <c r="V22" s="15" t="str">
        <f t="shared" si="7"/>
        <v/>
      </c>
      <c r="W22" s="15" t="str">
        <f t="shared" si="7"/>
        <v/>
      </c>
      <c r="X22" s="15" t="str">
        <f t="shared" si="7"/>
        <v/>
      </c>
      <c r="Y22" s="15" t="str">
        <f t="shared" si="7"/>
        <v/>
      </c>
      <c r="Z22" s="15" t="str">
        <f t="shared" si="7"/>
        <v xml:space="preserve"> </v>
      </c>
      <c r="AA22" s="15" t="str">
        <f t="shared" si="7"/>
        <v/>
      </c>
      <c r="AB22" s="15" t="str">
        <f t="shared" si="7"/>
        <v xml:space="preserve"> </v>
      </c>
      <c r="AC22" s="15" t="str">
        <f t="shared" si="7"/>
        <v/>
      </c>
      <c r="AD22" s="5" t="str">
        <f t="shared" si="7"/>
        <v/>
      </c>
    </row>
    <row r="23" spans="2:30" s="30" customFormat="1" ht="15.75" x14ac:dyDescent="0.25">
      <c r="B23" s="36">
        <v>14</v>
      </c>
      <c r="C23" s="36">
        <v>16</v>
      </c>
      <c r="D23" s="36">
        <v>2</v>
      </c>
      <c r="E23" s="36"/>
      <c r="F23" s="12">
        <v>14</v>
      </c>
      <c r="G23" s="4">
        <f t="shared" ca="1" si="4"/>
        <v>37</v>
      </c>
      <c r="H23" s="19">
        <f t="shared" ca="1" si="5"/>
        <v>99</v>
      </c>
      <c r="I23" s="69">
        <f t="shared" ca="1" si="6"/>
        <v>2</v>
      </c>
      <c r="J23" s="92"/>
      <c r="K23" s="97"/>
      <c r="L23" s="76"/>
      <c r="M23" s="98"/>
      <c r="N23" s="32" t="str">
        <f t="shared" si="3"/>
        <v/>
      </c>
      <c r="O23" s="15" t="str">
        <f t="shared" si="7"/>
        <v xml:space="preserve"> </v>
      </c>
      <c r="P23" s="15" t="str">
        <f t="shared" si="7"/>
        <v/>
      </c>
      <c r="Q23" s="15" t="str">
        <f t="shared" si="7"/>
        <v/>
      </c>
      <c r="R23" s="15" t="str">
        <f t="shared" si="7"/>
        <v/>
      </c>
      <c r="S23" s="15" t="str">
        <f t="shared" si="7"/>
        <v/>
      </c>
      <c r="T23" s="15" t="str">
        <f t="shared" si="7"/>
        <v/>
      </c>
      <c r="U23" s="15" t="str">
        <f t="shared" si="7"/>
        <v/>
      </c>
      <c r="V23" s="15" t="str">
        <f t="shared" si="7"/>
        <v/>
      </c>
      <c r="W23" s="15" t="str">
        <f t="shared" si="7"/>
        <v/>
      </c>
      <c r="X23" s="15" t="str">
        <f t="shared" si="7"/>
        <v/>
      </c>
      <c r="Y23" s="15" t="str">
        <f t="shared" si="7"/>
        <v/>
      </c>
      <c r="Z23" s="15" t="str">
        <f t="shared" si="7"/>
        <v/>
      </c>
      <c r="AA23" s="15" t="str">
        <f t="shared" si="7"/>
        <v xml:space="preserve"> </v>
      </c>
      <c r="AB23" s="15" t="str">
        <f t="shared" si="7"/>
        <v/>
      </c>
      <c r="AC23" s="15" t="str">
        <f t="shared" si="7"/>
        <v xml:space="preserve"> </v>
      </c>
      <c r="AD23" s="5" t="str">
        <f t="shared" si="7"/>
        <v/>
      </c>
    </row>
    <row r="24" spans="2:30" s="30" customFormat="1" ht="15.75" x14ac:dyDescent="0.25">
      <c r="B24" s="36">
        <v>15</v>
      </c>
      <c r="C24" s="36">
        <v>17</v>
      </c>
      <c r="D24" s="36">
        <v>3</v>
      </c>
      <c r="E24" s="36"/>
      <c r="F24" s="12">
        <v>15</v>
      </c>
      <c r="G24" s="4">
        <f t="shared" ca="1" si="4"/>
        <v>49</v>
      </c>
      <c r="H24" s="19">
        <f t="shared" ca="1" si="5"/>
        <v>0</v>
      </c>
      <c r="I24" s="69">
        <f t="shared" ca="1" si="6"/>
        <v>3</v>
      </c>
      <c r="J24" s="92"/>
      <c r="K24" s="97"/>
      <c r="L24" s="76"/>
      <c r="M24" s="98"/>
      <c r="N24" s="32" t="str">
        <f t="shared" si="3"/>
        <v/>
      </c>
      <c r="O24" s="15" t="str">
        <f t="shared" si="7"/>
        <v/>
      </c>
      <c r="P24" s="15" t="str">
        <f t="shared" si="7"/>
        <v xml:space="preserve"> </v>
      </c>
      <c r="Q24" s="15" t="str">
        <f t="shared" si="7"/>
        <v/>
      </c>
      <c r="R24" s="15" t="str">
        <f t="shared" si="7"/>
        <v/>
      </c>
      <c r="S24" s="15" t="str">
        <f t="shared" si="7"/>
        <v/>
      </c>
      <c r="T24" s="15" t="str">
        <f t="shared" si="7"/>
        <v/>
      </c>
      <c r="U24" s="15" t="str">
        <f t="shared" si="7"/>
        <v/>
      </c>
      <c r="V24" s="15" t="str">
        <f t="shared" si="7"/>
        <v/>
      </c>
      <c r="W24" s="15" t="str">
        <f t="shared" si="7"/>
        <v/>
      </c>
      <c r="X24" s="15" t="str">
        <f t="shared" si="7"/>
        <v/>
      </c>
      <c r="Y24" s="15" t="str">
        <f t="shared" si="7"/>
        <v/>
      </c>
      <c r="Z24" s="15" t="str">
        <f t="shared" si="7"/>
        <v/>
      </c>
      <c r="AA24" s="15" t="str">
        <f t="shared" si="7"/>
        <v/>
      </c>
      <c r="AB24" s="15" t="str">
        <f t="shared" si="7"/>
        <v xml:space="preserve"> </v>
      </c>
      <c r="AC24" s="15" t="str">
        <f t="shared" si="7"/>
        <v/>
      </c>
      <c r="AD24" s="5" t="str">
        <f t="shared" si="7"/>
        <v xml:space="preserve"> </v>
      </c>
    </row>
    <row r="25" spans="2:30" s="30" customFormat="1" ht="15.75" x14ac:dyDescent="0.25">
      <c r="B25" s="36">
        <v>16</v>
      </c>
      <c r="C25" s="36">
        <v>1</v>
      </c>
      <c r="D25" s="36">
        <v>4</v>
      </c>
      <c r="E25" s="36"/>
      <c r="F25" s="12">
        <v>16</v>
      </c>
      <c r="G25" s="4">
        <f t="shared" ca="1" si="4"/>
        <v>99</v>
      </c>
      <c r="H25" s="19">
        <f t="shared" ca="1" si="5"/>
        <v>1</v>
      </c>
      <c r="I25" s="69">
        <f t="shared" ca="1" si="6"/>
        <v>4</v>
      </c>
      <c r="J25" s="92"/>
      <c r="K25" s="97"/>
      <c r="L25" s="76"/>
      <c r="M25" s="98"/>
      <c r="N25" s="32" t="str">
        <f t="shared" si="3"/>
        <v xml:space="preserve"> </v>
      </c>
      <c r="O25" s="15" t="str">
        <f t="shared" si="7"/>
        <v/>
      </c>
      <c r="P25" s="15" t="str">
        <f t="shared" si="7"/>
        <v/>
      </c>
      <c r="Q25" s="15" t="str">
        <f t="shared" si="7"/>
        <v xml:space="preserve"> </v>
      </c>
      <c r="R25" s="15" t="str">
        <f t="shared" si="7"/>
        <v/>
      </c>
      <c r="S25" s="15" t="str">
        <f t="shared" si="7"/>
        <v/>
      </c>
      <c r="T25" s="15" t="str">
        <f t="shared" si="7"/>
        <v/>
      </c>
      <c r="U25" s="15" t="str">
        <f t="shared" si="7"/>
        <v/>
      </c>
      <c r="V25" s="15" t="str">
        <f t="shared" si="7"/>
        <v/>
      </c>
      <c r="W25" s="15" t="str">
        <f t="shared" si="7"/>
        <v/>
      </c>
      <c r="X25" s="15" t="str">
        <f t="shared" si="7"/>
        <v/>
      </c>
      <c r="Y25" s="15" t="str">
        <f t="shared" si="7"/>
        <v/>
      </c>
      <c r="Z25" s="15" t="str">
        <f t="shared" si="7"/>
        <v/>
      </c>
      <c r="AA25" s="15" t="str">
        <f t="shared" si="7"/>
        <v/>
      </c>
      <c r="AB25" s="15" t="str">
        <f t="shared" si="7"/>
        <v/>
      </c>
      <c r="AC25" s="15" t="str">
        <f t="shared" si="7"/>
        <v xml:space="preserve"> </v>
      </c>
      <c r="AD25" s="5" t="str">
        <f t="shared" si="7"/>
        <v/>
      </c>
    </row>
    <row r="26" spans="2:30" s="30" customFormat="1" ht="16.5" thickBot="1" x14ac:dyDescent="0.3">
      <c r="B26" s="36">
        <v>17</v>
      </c>
      <c r="C26" s="36">
        <v>2</v>
      </c>
      <c r="D26" s="36">
        <v>5</v>
      </c>
      <c r="E26" s="36"/>
      <c r="F26" s="13">
        <v>17</v>
      </c>
      <c r="G26" s="6">
        <f t="shared" ca="1" si="4"/>
        <v>0</v>
      </c>
      <c r="H26" s="39">
        <f t="shared" ca="1" si="5"/>
        <v>2</v>
      </c>
      <c r="I26" s="40">
        <f t="shared" ca="1" si="6"/>
        <v>5</v>
      </c>
      <c r="J26" s="93"/>
      <c r="K26" s="99"/>
      <c r="L26" s="100"/>
      <c r="M26" s="101"/>
      <c r="N26" s="20" t="str">
        <f t="shared" si="3"/>
        <v/>
      </c>
      <c r="O26" s="16" t="str">
        <f t="shared" si="7"/>
        <v xml:space="preserve"> </v>
      </c>
      <c r="P26" s="16" t="str">
        <f t="shared" si="7"/>
        <v/>
      </c>
      <c r="Q26" s="16" t="str">
        <f t="shared" si="7"/>
        <v/>
      </c>
      <c r="R26" s="16" t="str">
        <f t="shared" si="7"/>
        <v xml:space="preserve"> </v>
      </c>
      <c r="S26" s="16" t="str">
        <f t="shared" si="7"/>
        <v/>
      </c>
      <c r="T26" s="16" t="str">
        <f t="shared" si="7"/>
        <v/>
      </c>
      <c r="U26" s="16" t="str">
        <f t="shared" si="7"/>
        <v/>
      </c>
      <c r="V26" s="16" t="str">
        <f t="shared" si="7"/>
        <v/>
      </c>
      <c r="W26" s="16" t="str">
        <f t="shared" si="7"/>
        <v/>
      </c>
      <c r="X26" s="16" t="str">
        <f t="shared" si="7"/>
        <v/>
      </c>
      <c r="Y26" s="16" t="str">
        <f t="shared" si="7"/>
        <v/>
      </c>
      <c r="Z26" s="16" t="str">
        <f t="shared" si="7"/>
        <v/>
      </c>
      <c r="AA26" s="16" t="str">
        <f t="shared" si="7"/>
        <v/>
      </c>
      <c r="AB26" s="16" t="str">
        <f t="shared" si="7"/>
        <v/>
      </c>
      <c r="AC26" s="16" t="str">
        <f t="shared" si="7"/>
        <v/>
      </c>
      <c r="AD26" s="43" t="str">
        <f t="shared" si="7"/>
        <v xml:space="preserve"> </v>
      </c>
    </row>
    <row r="27" spans="2:30" ht="15.75" x14ac:dyDescent="0.25">
      <c r="K27" s="151" t="s">
        <v>4</v>
      </c>
      <c r="L27" s="152"/>
      <c r="M27" s="153"/>
      <c r="N27" s="102" t="str">
        <f t="shared" ref="N27:AB27" si="8">IF(SUM(N10:N26)&lt;1," ",SUM(N10:N26))</f>
        <v xml:space="preserve"> </v>
      </c>
      <c r="O27" s="103" t="str">
        <f t="shared" si="8"/>
        <v xml:space="preserve"> </v>
      </c>
      <c r="P27" s="103" t="str">
        <f t="shared" si="8"/>
        <v xml:space="preserve"> </v>
      </c>
      <c r="Q27" s="103" t="str">
        <f t="shared" si="8"/>
        <v xml:space="preserve"> </v>
      </c>
      <c r="R27" s="103" t="str">
        <f t="shared" si="8"/>
        <v xml:space="preserve"> </v>
      </c>
      <c r="S27" s="103" t="str">
        <f t="shared" si="8"/>
        <v xml:space="preserve"> </v>
      </c>
      <c r="T27" s="103" t="str">
        <f t="shared" si="8"/>
        <v xml:space="preserve"> </v>
      </c>
      <c r="U27" s="103" t="str">
        <f t="shared" si="8"/>
        <v xml:space="preserve"> </v>
      </c>
      <c r="V27" s="103" t="str">
        <f t="shared" si="8"/>
        <v xml:space="preserve"> </v>
      </c>
      <c r="W27" s="103" t="str">
        <f t="shared" si="8"/>
        <v xml:space="preserve"> </v>
      </c>
      <c r="X27" s="103" t="str">
        <f t="shared" si="8"/>
        <v xml:space="preserve"> </v>
      </c>
      <c r="Y27" s="103" t="str">
        <f t="shared" si="8"/>
        <v xml:space="preserve"> </v>
      </c>
      <c r="Z27" s="103" t="str">
        <f t="shared" si="8"/>
        <v xml:space="preserve"> </v>
      </c>
      <c r="AA27" s="103" t="str">
        <f t="shared" si="8"/>
        <v xml:space="preserve"> </v>
      </c>
      <c r="AB27" s="45" t="str">
        <f t="shared" si="8"/>
        <v xml:space="preserve"> </v>
      </c>
      <c r="AC27" s="45" t="str">
        <f t="shared" ref="AC27:AD27" si="9">IF(SUM(AC10:AC26)&lt;1," ",SUM(AC10:AC26))</f>
        <v xml:space="preserve"> </v>
      </c>
      <c r="AD27" s="46" t="str">
        <f t="shared" si="9"/>
        <v xml:space="preserve"> </v>
      </c>
    </row>
    <row r="28" spans="2:30" ht="16.5" thickBot="1" x14ac:dyDescent="0.3">
      <c r="K28" s="141" t="s">
        <v>5</v>
      </c>
      <c r="L28" s="142"/>
      <c r="M28" s="143"/>
      <c r="N28" s="120" t="e">
        <f>RANK(N27,$N27:$AL27,0)</f>
        <v>#VALUE!</v>
      </c>
      <c r="O28" s="121" t="e">
        <f t="shared" ref="O28:AD28" si="10">RANK(O27,$N27:$AL27,0)</f>
        <v>#VALUE!</v>
      </c>
      <c r="P28" s="121" t="e">
        <f t="shared" si="10"/>
        <v>#VALUE!</v>
      </c>
      <c r="Q28" s="121" t="e">
        <f t="shared" si="10"/>
        <v>#VALUE!</v>
      </c>
      <c r="R28" s="121" t="e">
        <f t="shared" si="10"/>
        <v>#VALUE!</v>
      </c>
      <c r="S28" s="121" t="e">
        <f t="shared" si="10"/>
        <v>#VALUE!</v>
      </c>
      <c r="T28" s="121" t="e">
        <f t="shared" si="10"/>
        <v>#VALUE!</v>
      </c>
      <c r="U28" s="121" t="e">
        <f t="shared" si="10"/>
        <v>#VALUE!</v>
      </c>
      <c r="V28" s="121" t="e">
        <f t="shared" si="10"/>
        <v>#VALUE!</v>
      </c>
      <c r="W28" s="121" t="e">
        <f t="shared" si="10"/>
        <v>#VALUE!</v>
      </c>
      <c r="X28" s="121" t="e">
        <f t="shared" si="10"/>
        <v>#VALUE!</v>
      </c>
      <c r="Y28" s="121" t="e">
        <f t="shared" si="10"/>
        <v>#VALUE!</v>
      </c>
      <c r="Z28" s="121" t="e">
        <f t="shared" si="10"/>
        <v>#VALUE!</v>
      </c>
      <c r="AA28" s="121" t="e">
        <f t="shared" si="10"/>
        <v>#VALUE!</v>
      </c>
      <c r="AB28" s="121" t="e">
        <f t="shared" si="10"/>
        <v>#VALUE!</v>
      </c>
      <c r="AC28" s="121" t="e">
        <f t="shared" si="10"/>
        <v>#VALUE!</v>
      </c>
      <c r="AD28" s="122" t="e">
        <f t="shared" si="10"/>
        <v>#VALUE!</v>
      </c>
    </row>
    <row r="29" spans="2:30" x14ac:dyDescent="0.2">
      <c r="N29" s="7"/>
      <c r="O29" s="7"/>
      <c r="P29" s="7"/>
      <c r="Q29" s="7"/>
    </row>
    <row r="30" spans="2:30" s="31" customFormat="1" ht="135.75" customHeight="1" x14ac:dyDescent="0.2">
      <c r="N30" s="8" t="str">
        <f>+Names!$B$2</f>
        <v>Luke</v>
      </c>
      <c r="O30" s="8" t="str">
        <f>+Names!$B$3</f>
        <v>Ro</v>
      </c>
      <c r="P30" s="8" t="str">
        <f>+Names!$B$4</f>
        <v>Caleb</v>
      </c>
      <c r="Q30" s="8" t="str">
        <f>+Names!$B$5</f>
        <v>Zau</v>
      </c>
      <c r="R30" s="8" t="str">
        <f>+Names!$B$6</f>
        <v>Brady</v>
      </c>
      <c r="S30" s="8" t="str">
        <f>+Names!$B$7</f>
        <v>Theo</v>
      </c>
      <c r="T30" s="8" t="str">
        <f>+Names!$B$8</f>
        <v>Jonathan</v>
      </c>
      <c r="U30" s="8" t="str">
        <f>+Names!$B$9</f>
        <v>Brenton</v>
      </c>
      <c r="V30" s="8" t="str">
        <f>+Names!$B$10</f>
        <v>Jospe</v>
      </c>
      <c r="W30" s="8" t="str">
        <f>+Names!$B$11</f>
        <v>Emery</v>
      </c>
      <c r="X30" s="8" t="str">
        <f>+Names!$B$12</f>
        <v>Isaac</v>
      </c>
      <c r="Y30" s="8" t="str">
        <f>+Names!$B$13</f>
        <v>Alain</v>
      </c>
      <c r="Z30" s="8" t="str">
        <f>+Names!$B$14</f>
        <v>Silas</v>
      </c>
      <c r="AA30" s="8" t="str">
        <f>+Names!$B$15</f>
        <v>De</v>
      </c>
      <c r="AB30" s="8">
        <f>+Names!$B$19</f>
        <v>0</v>
      </c>
      <c r="AC30" s="8">
        <f>+Names!$B$20</f>
        <v>0</v>
      </c>
      <c r="AD30" s="8">
        <f>+Names!$B$18</f>
        <v>0</v>
      </c>
    </row>
  </sheetData>
  <sheetProtection sheet="1" objects="1" scenarios="1" selectLockedCells="1"/>
  <mergeCells count="20">
    <mergeCell ref="M6:N6"/>
    <mergeCell ref="G8:I8"/>
    <mergeCell ref="K8:M8"/>
    <mergeCell ref="K27:M27"/>
    <mergeCell ref="K28:M28"/>
    <mergeCell ref="N8:AD8"/>
    <mergeCell ref="F4:G4"/>
    <mergeCell ref="M4:N4"/>
    <mergeCell ref="S4:U4"/>
    <mergeCell ref="F5:G5"/>
    <mergeCell ref="M5:N5"/>
    <mergeCell ref="S5:U5"/>
    <mergeCell ref="F3:G3"/>
    <mergeCell ref="M3:N3"/>
    <mergeCell ref="S3:U3"/>
    <mergeCell ref="F1:AB1"/>
    <mergeCell ref="F2:G2"/>
    <mergeCell ref="I2:L2"/>
    <mergeCell ref="M2:N2"/>
    <mergeCell ref="R2:U2"/>
  </mergeCells>
  <conditionalFormatting sqref="F10:F26">
    <cfRule type="expression" dxfId="349" priority="37" stopIfTrue="1">
      <formula>$H$2=F10</formula>
    </cfRule>
  </conditionalFormatting>
  <conditionalFormatting sqref="G10">
    <cfRule type="expression" dxfId="348" priority="19" stopIfTrue="1">
      <formula>$K$10=1</formula>
    </cfRule>
    <cfRule type="expression" dxfId="347" priority="20" stopIfTrue="1">
      <formula>$L$10=1</formula>
    </cfRule>
    <cfRule type="expression" dxfId="346" priority="21" stopIfTrue="1">
      <formula>$M$10=1</formula>
    </cfRule>
  </conditionalFormatting>
  <conditionalFormatting sqref="G11:G26">
    <cfRule type="expression" dxfId="345" priority="22" stopIfTrue="1">
      <formula>K11=1</formula>
    </cfRule>
    <cfRule type="expression" dxfId="344" priority="23" stopIfTrue="1">
      <formula>L11=1</formula>
    </cfRule>
    <cfRule type="expression" dxfId="343" priority="24" stopIfTrue="1">
      <formula>M11=1</formula>
    </cfRule>
  </conditionalFormatting>
  <conditionalFormatting sqref="H10:H26">
    <cfRule type="expression" dxfId="342" priority="25" stopIfTrue="1">
      <formula>K10=2</formula>
    </cfRule>
    <cfRule type="expression" dxfId="341" priority="26" stopIfTrue="1">
      <formula>L10=2</formula>
    </cfRule>
    <cfRule type="expression" dxfId="340" priority="27" stopIfTrue="1">
      <formula>M10=2</formula>
    </cfRule>
  </conditionalFormatting>
  <conditionalFormatting sqref="I10:I26">
    <cfRule type="expression" dxfId="339" priority="28" stopIfTrue="1">
      <formula>K10=3</formula>
    </cfRule>
    <cfRule type="expression" dxfId="338" priority="29" stopIfTrue="1">
      <formula>L10=3</formula>
    </cfRule>
    <cfRule type="expression" dxfId="337" priority="30" stopIfTrue="1">
      <formula>M10=3</formula>
    </cfRule>
  </conditionalFormatting>
  <conditionalFormatting sqref="I3:N6">
    <cfRule type="expression" dxfId="336" priority="34" stopIfTrue="1">
      <formula>$M3="1st"</formula>
    </cfRule>
    <cfRule type="expression" dxfId="335" priority="35" stopIfTrue="1">
      <formula>$M3="2nd"</formula>
    </cfRule>
    <cfRule type="expression" dxfId="334" priority="36" stopIfTrue="1">
      <formula>$M3="3rd"</formula>
    </cfRule>
  </conditionalFormatting>
  <conditionalFormatting sqref="J10:J26">
    <cfRule type="expression" dxfId="333" priority="31" stopIfTrue="1">
      <formula>K10=4</formula>
    </cfRule>
    <cfRule type="expression" dxfId="332" priority="32" stopIfTrue="1">
      <formula>L10=4</formula>
    </cfRule>
    <cfRule type="expression" dxfId="331" priority="33" stopIfTrue="1">
      <formula>M10=4</formula>
    </cfRule>
  </conditionalFormatting>
  <conditionalFormatting sqref="N10:AD26">
    <cfRule type="cellIs" dxfId="330" priority="10" stopIfTrue="1" operator="equal">
      <formula>3</formula>
    </cfRule>
    <cfRule type="cellIs" dxfId="329" priority="11" stopIfTrue="1" operator="equal">
      <formula>2</formula>
    </cfRule>
    <cfRule type="cellIs" dxfId="328" priority="12" stopIfTrue="1" operator="equal">
      <formula>1</formula>
    </cfRule>
  </conditionalFormatting>
  <conditionalFormatting sqref="N28:AD28">
    <cfRule type="cellIs" dxfId="327" priority="1" operator="equal">
      <formula>3</formula>
    </cfRule>
    <cfRule type="cellIs" dxfId="326" priority="2" operator="equal">
      <formula>2</formula>
    </cfRule>
    <cfRule type="cellIs" dxfId="325" priority="3" operator="equal">
      <formula>1</formula>
    </cfRule>
  </conditionalFormatting>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D29"/>
  <sheetViews>
    <sheetView showGridLines="0" zoomScaleNormal="100" workbookViewId="0">
      <selection activeCell="H2" sqref="H2"/>
    </sheetView>
  </sheetViews>
  <sheetFormatPr defaultColWidth="9.140625" defaultRowHeight="12.75" x14ac:dyDescent="0.2"/>
  <cols>
    <col min="1" max="1" width="8.425781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0" s="29" customFormat="1" ht="22.5" x14ac:dyDescent="0.45">
      <c r="F2" s="133" t="s">
        <v>2</v>
      </c>
      <c r="G2" s="134"/>
      <c r="H2" s="47">
        <v>1</v>
      </c>
      <c r="I2" s="135" t="str">
        <f>+Names!$C$1</f>
        <v>Driver</v>
      </c>
      <c r="J2" s="136"/>
      <c r="K2" s="136"/>
      <c r="L2" s="137"/>
      <c r="M2" s="130" t="s">
        <v>8</v>
      </c>
      <c r="N2" s="130"/>
      <c r="R2" s="138" t="s">
        <v>12</v>
      </c>
      <c r="S2" s="139"/>
      <c r="T2" s="139"/>
      <c r="U2" s="140"/>
    </row>
    <row r="3" spans="2:30"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55"/>
      <c r="G6" s="56"/>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6"/>
      <c r="J8" s="87"/>
      <c r="K8" s="147" t="s">
        <v>34</v>
      </c>
      <c r="L8" s="147"/>
      <c r="M8" s="148"/>
      <c r="N8" s="144" t="s">
        <v>13</v>
      </c>
      <c r="O8" s="145"/>
      <c r="P8" s="145"/>
      <c r="Q8" s="145"/>
      <c r="R8" s="145"/>
      <c r="S8" s="145"/>
      <c r="T8" s="145"/>
      <c r="U8" s="145"/>
      <c r="V8" s="145"/>
      <c r="W8" s="145"/>
      <c r="X8" s="145"/>
      <c r="Y8" s="145"/>
      <c r="Z8" s="145"/>
      <c r="AA8" s="145"/>
      <c r="AB8" s="145"/>
      <c r="AC8" s="146"/>
    </row>
    <row r="9" spans="2:30"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c r="AC9" s="58">
        <f>+Names!$A$17</f>
        <v>99</v>
      </c>
    </row>
    <row r="10" spans="2:30" s="30" customFormat="1" ht="15.75" x14ac:dyDescent="0.25">
      <c r="B10" s="36">
        <v>1</v>
      </c>
      <c r="C10" s="36">
        <v>3</v>
      </c>
      <c r="D10" s="36">
        <v>6</v>
      </c>
      <c r="E10" s="36"/>
      <c r="F10" s="11">
        <v>1</v>
      </c>
      <c r="G10" s="37">
        <f ca="1">INDIRECT(ADDRESS(B10+1,1,,,"Names"))</f>
        <v>1</v>
      </c>
      <c r="H10" s="18">
        <f t="shared" ref="H10:I13" ca="1" si="0">INDIRECT(ADDRESS(C10+1,1,,,"Names"))</f>
        <v>3</v>
      </c>
      <c r="I10" s="38">
        <f t="shared" ca="1" si="0"/>
        <v>6</v>
      </c>
      <c r="J10" s="105"/>
      <c r="K10" s="49"/>
      <c r="L10" s="81"/>
      <c r="M10" s="77"/>
      <c r="N10" s="51" t="str">
        <f>IF(ISNA(MATCH(COLUMN()-13,$B10:$E10,0)),"",IF($K10=MATCH(COLUMN()-13,$B10:$E10,0),3,IF($L10=MATCH(COLUMN()-13,$B10:$E10,0),2,IF($M10=MATCH(COLUMN()-13,$B10:$E10,0),1," "))))</f>
        <v xml:space="preserve"> </v>
      </c>
      <c r="O10" s="52" t="str">
        <f t="shared" ref="O10:AC11" si="1">IF(ISNA(MATCH(COLUMN()-13,$B10:$E10,0)),"",IF($K10=MATCH(COLUMN()-13,$B10:$E10,0),3,IF($L10=MATCH(COLUMN()-13,$B10:$E10,0),2,IF($M10=MATCH(COLUMN()-13,$B10:$E10,0),1," "))))</f>
        <v/>
      </c>
      <c r="P10" s="52" t="str">
        <f t="shared" si="1"/>
        <v xml:space="preserve"> </v>
      </c>
      <c r="Q10" s="52" t="str">
        <f t="shared" si="1"/>
        <v/>
      </c>
      <c r="R10" s="52" t="str">
        <f t="shared" si="1"/>
        <v/>
      </c>
      <c r="S10" s="52" t="str">
        <f t="shared" si="1"/>
        <v xml:space="preserve"> </v>
      </c>
      <c r="T10" s="52" t="str">
        <f t="shared" si="1"/>
        <v/>
      </c>
      <c r="U10" s="52" t="str">
        <f t="shared" si="1"/>
        <v/>
      </c>
      <c r="V10" s="52" t="str">
        <f t="shared" si="1"/>
        <v/>
      </c>
      <c r="W10" s="52" t="str">
        <f t="shared" si="1"/>
        <v/>
      </c>
      <c r="X10" s="52" t="str">
        <f t="shared" si="1"/>
        <v/>
      </c>
      <c r="Y10" s="52" t="str">
        <f t="shared" si="1"/>
        <v/>
      </c>
      <c r="Z10" s="52" t="str">
        <f t="shared" si="1"/>
        <v/>
      </c>
      <c r="AA10" s="52" t="str">
        <f t="shared" si="1"/>
        <v/>
      </c>
      <c r="AB10" s="89" t="str">
        <f t="shared" si="1"/>
        <v/>
      </c>
      <c r="AC10" s="90" t="str">
        <f t="shared" si="1"/>
        <v/>
      </c>
    </row>
    <row r="11" spans="2:30" s="30" customFormat="1" ht="15.75" x14ac:dyDescent="0.25">
      <c r="B11" s="36">
        <v>2</v>
      </c>
      <c r="C11" s="36">
        <v>4</v>
      </c>
      <c r="D11" s="36">
        <v>7</v>
      </c>
      <c r="E11" s="36"/>
      <c r="F11" s="12">
        <v>2</v>
      </c>
      <c r="G11" s="4">
        <f t="shared" ref="G11:G13" ca="1" si="2">INDIRECT(ADDRESS(B11+1,1,,,"Names"))</f>
        <v>2</v>
      </c>
      <c r="H11" s="19">
        <f t="shared" ca="1" si="0"/>
        <v>4</v>
      </c>
      <c r="I11" s="69">
        <f t="shared" ca="1" si="0"/>
        <v>7</v>
      </c>
      <c r="J11" s="92"/>
      <c r="K11" s="97"/>
      <c r="L11" s="76"/>
      <c r="M11" s="98"/>
      <c r="N11" s="32" t="str">
        <f t="shared" ref="N11:AC14" si="3">IF(ISNA(MATCH(COLUMN()-13,$B11:$E11,0)),"",IF($K11=MATCH(COLUMN()-13,$B11:$E11,0),3,IF($L11=MATCH(COLUMN()-13,$B11:$E11,0),2,IF($M11=MATCH(COLUMN()-13,$B11:$E11,0),1," "))))</f>
        <v/>
      </c>
      <c r="O11" s="15" t="str">
        <f t="shared" si="1"/>
        <v xml:space="preserve"> </v>
      </c>
      <c r="P11" s="15" t="str">
        <f t="shared" si="1"/>
        <v/>
      </c>
      <c r="Q11" s="15" t="str">
        <f t="shared" si="1"/>
        <v xml:space="preserve"> </v>
      </c>
      <c r="R11" s="15" t="str">
        <f t="shared" si="1"/>
        <v/>
      </c>
      <c r="S11" s="15" t="str">
        <f t="shared" si="1"/>
        <v/>
      </c>
      <c r="T11" s="15" t="str">
        <f t="shared" si="1"/>
        <v xml:space="preserve"> </v>
      </c>
      <c r="U11" s="15" t="str">
        <f t="shared" si="1"/>
        <v/>
      </c>
      <c r="V11" s="15" t="str">
        <f t="shared" si="1"/>
        <v/>
      </c>
      <c r="W11" s="15" t="str">
        <f t="shared" si="1"/>
        <v/>
      </c>
      <c r="X11" s="15" t="str">
        <f t="shared" si="1"/>
        <v/>
      </c>
      <c r="Y11" s="15" t="str">
        <f t="shared" si="1"/>
        <v/>
      </c>
      <c r="Z11" s="15" t="str">
        <f t="shared" si="1"/>
        <v/>
      </c>
      <c r="AA11" s="15" t="str">
        <f t="shared" si="1"/>
        <v/>
      </c>
      <c r="AB11" s="15" t="str">
        <f t="shared" si="1"/>
        <v/>
      </c>
      <c r="AC11" s="5" t="str">
        <f t="shared" si="1"/>
        <v/>
      </c>
    </row>
    <row r="12" spans="2:30" s="30" customFormat="1" ht="15.75" x14ac:dyDescent="0.25">
      <c r="B12" s="36">
        <v>3</v>
      </c>
      <c r="C12" s="36">
        <v>5</v>
      </c>
      <c r="D12" s="36">
        <v>8</v>
      </c>
      <c r="E12" s="36"/>
      <c r="F12" s="12">
        <v>3</v>
      </c>
      <c r="G12" s="4">
        <f t="shared" ca="1" si="2"/>
        <v>3</v>
      </c>
      <c r="H12" s="19">
        <f t="shared" ca="1" si="0"/>
        <v>5</v>
      </c>
      <c r="I12" s="69">
        <f t="shared" ca="1" si="0"/>
        <v>8</v>
      </c>
      <c r="J12" s="92"/>
      <c r="K12" s="97"/>
      <c r="L12" s="76"/>
      <c r="M12" s="98"/>
      <c r="N12" s="32" t="str">
        <f t="shared" si="3"/>
        <v/>
      </c>
      <c r="O12" s="15" t="str">
        <f t="shared" si="3"/>
        <v/>
      </c>
      <c r="P12" s="15" t="str">
        <f t="shared" si="3"/>
        <v xml:space="preserve"> </v>
      </c>
      <c r="Q12" s="15" t="str">
        <f t="shared" si="3"/>
        <v/>
      </c>
      <c r="R12" s="15" t="str">
        <f t="shared" si="3"/>
        <v xml:space="preserve"> </v>
      </c>
      <c r="S12" s="15" t="str">
        <f t="shared" si="3"/>
        <v/>
      </c>
      <c r="T12" s="15" t="str">
        <f t="shared" si="3"/>
        <v/>
      </c>
      <c r="U12" s="15" t="str">
        <f t="shared" si="3"/>
        <v xml:space="preserve"> </v>
      </c>
      <c r="V12" s="15" t="str">
        <f t="shared" si="3"/>
        <v/>
      </c>
      <c r="W12" s="15" t="str">
        <f t="shared" si="3"/>
        <v/>
      </c>
      <c r="X12" s="15" t="str">
        <f t="shared" si="3"/>
        <v/>
      </c>
      <c r="Y12" s="15" t="str">
        <f t="shared" si="3"/>
        <v/>
      </c>
      <c r="Z12" s="15" t="str">
        <f t="shared" si="3"/>
        <v/>
      </c>
      <c r="AA12" s="15" t="str">
        <f t="shared" si="3"/>
        <v/>
      </c>
      <c r="AB12" s="15" t="str">
        <f t="shared" si="3"/>
        <v/>
      </c>
      <c r="AC12" s="5" t="str">
        <f t="shared" si="3"/>
        <v/>
      </c>
    </row>
    <row r="13" spans="2:30" s="30" customFormat="1" ht="15.75" x14ac:dyDescent="0.25">
      <c r="B13" s="36">
        <v>4</v>
      </c>
      <c r="C13" s="36">
        <v>6</v>
      </c>
      <c r="D13" s="36">
        <v>9</v>
      </c>
      <c r="E13" s="36"/>
      <c r="F13" s="12">
        <v>4</v>
      </c>
      <c r="G13" s="4">
        <f t="shared" ca="1" si="2"/>
        <v>4</v>
      </c>
      <c r="H13" s="19">
        <f t="shared" ca="1" si="0"/>
        <v>6</v>
      </c>
      <c r="I13" s="69">
        <f t="shared" ca="1" si="0"/>
        <v>9</v>
      </c>
      <c r="J13" s="92"/>
      <c r="K13" s="97"/>
      <c r="L13" s="76"/>
      <c r="M13" s="98"/>
      <c r="N13" s="32" t="str">
        <f t="shared" si="3"/>
        <v/>
      </c>
      <c r="O13" s="15" t="str">
        <f t="shared" si="3"/>
        <v/>
      </c>
      <c r="P13" s="15" t="str">
        <f t="shared" si="3"/>
        <v/>
      </c>
      <c r="Q13" s="15" t="str">
        <f t="shared" si="3"/>
        <v xml:space="preserve"> </v>
      </c>
      <c r="R13" s="15" t="str">
        <f t="shared" si="3"/>
        <v/>
      </c>
      <c r="S13" s="15" t="str">
        <f t="shared" si="3"/>
        <v xml:space="preserve"> </v>
      </c>
      <c r="T13" s="15" t="str">
        <f t="shared" si="3"/>
        <v/>
      </c>
      <c r="U13" s="15" t="str">
        <f t="shared" si="3"/>
        <v/>
      </c>
      <c r="V13" s="15" t="str">
        <f t="shared" si="3"/>
        <v xml:space="preserve"> </v>
      </c>
      <c r="W13" s="15" t="str">
        <f t="shared" si="3"/>
        <v/>
      </c>
      <c r="X13" s="15" t="str">
        <f t="shared" si="3"/>
        <v/>
      </c>
      <c r="Y13" s="15" t="str">
        <f t="shared" si="3"/>
        <v/>
      </c>
      <c r="Z13" s="15" t="str">
        <f t="shared" si="3"/>
        <v/>
      </c>
      <c r="AA13" s="15" t="str">
        <f t="shared" si="3"/>
        <v/>
      </c>
      <c r="AB13" s="15" t="str">
        <f t="shared" si="3"/>
        <v/>
      </c>
      <c r="AC13" s="5" t="str">
        <f t="shared" si="3"/>
        <v/>
      </c>
    </row>
    <row r="14" spans="2:30" s="30" customFormat="1" ht="15.75" x14ac:dyDescent="0.25">
      <c r="B14" s="36">
        <v>5</v>
      </c>
      <c r="C14" s="36">
        <v>7</v>
      </c>
      <c r="D14" s="36">
        <v>10</v>
      </c>
      <c r="E14" s="36"/>
      <c r="F14" s="12">
        <v>5</v>
      </c>
      <c r="G14" s="4">
        <f t="shared" ref="G14:G25" ca="1" si="4">INDIRECT(ADDRESS(B14+1,1,,,"Names"))</f>
        <v>5</v>
      </c>
      <c r="H14" s="19">
        <f t="shared" ref="H14:H25" ca="1" si="5">INDIRECT(ADDRESS(C14+1,1,,,"Names"))</f>
        <v>7</v>
      </c>
      <c r="I14" s="69">
        <f t="shared" ref="I14:I25" ca="1" si="6">INDIRECT(ADDRESS(D14+1,1,,,"Names"))</f>
        <v>13</v>
      </c>
      <c r="J14" s="92"/>
      <c r="K14" s="97"/>
      <c r="L14" s="76"/>
      <c r="M14" s="98"/>
      <c r="N14" s="32" t="str">
        <f t="shared" si="3"/>
        <v/>
      </c>
      <c r="O14" s="15" t="str">
        <f t="shared" si="3"/>
        <v/>
      </c>
      <c r="P14" s="15" t="str">
        <f t="shared" si="3"/>
        <v/>
      </c>
      <c r="Q14" s="15" t="str">
        <f t="shared" si="3"/>
        <v/>
      </c>
      <c r="R14" s="15" t="str">
        <f t="shared" si="3"/>
        <v xml:space="preserve"> </v>
      </c>
      <c r="S14" s="15" t="str">
        <f t="shared" si="3"/>
        <v/>
      </c>
      <c r="T14" s="15" t="str">
        <f t="shared" si="3"/>
        <v xml:space="preserve"> </v>
      </c>
      <c r="U14" s="15" t="str">
        <f t="shared" si="3"/>
        <v/>
      </c>
      <c r="V14" s="15" t="str">
        <f t="shared" si="3"/>
        <v/>
      </c>
      <c r="W14" s="15" t="str">
        <f t="shared" si="3"/>
        <v xml:space="preserve"> </v>
      </c>
      <c r="X14" s="15" t="str">
        <f t="shared" si="3"/>
        <v/>
      </c>
      <c r="Y14" s="15" t="str">
        <f t="shared" si="3"/>
        <v/>
      </c>
      <c r="Z14" s="15" t="str">
        <f t="shared" si="3"/>
        <v/>
      </c>
      <c r="AA14" s="15" t="str">
        <f t="shared" si="3"/>
        <v/>
      </c>
      <c r="AB14" s="15" t="str">
        <f t="shared" si="3"/>
        <v/>
      </c>
      <c r="AC14" s="5" t="str">
        <f t="shared" si="3"/>
        <v/>
      </c>
    </row>
    <row r="15" spans="2:30" s="30" customFormat="1" ht="15.75" x14ac:dyDescent="0.25">
      <c r="B15" s="36">
        <v>6</v>
      </c>
      <c r="C15" s="36">
        <v>8</v>
      </c>
      <c r="D15" s="36">
        <v>11</v>
      </c>
      <c r="E15" s="36"/>
      <c r="F15" s="12">
        <v>6</v>
      </c>
      <c r="G15" s="4">
        <f t="shared" ca="1" si="4"/>
        <v>6</v>
      </c>
      <c r="H15" s="19">
        <f t="shared" ca="1" si="5"/>
        <v>8</v>
      </c>
      <c r="I15" s="69">
        <f t="shared" ca="1" si="6"/>
        <v>14</v>
      </c>
      <c r="J15" s="92"/>
      <c r="K15" s="97"/>
      <c r="L15" s="76"/>
      <c r="M15" s="98"/>
      <c r="N15" s="32" t="str">
        <f t="shared" ref="N15:AC25" si="7">IF(ISNA(MATCH(COLUMN()-13,$B15:$E15,0)),"",IF($K15=MATCH(COLUMN()-13,$B15:$E15,0),3,IF($L15=MATCH(COLUMN()-13,$B15:$E15,0),2,IF($M15=MATCH(COLUMN()-13,$B15:$E15,0),1," "))))</f>
        <v/>
      </c>
      <c r="O15" s="15" t="str">
        <f t="shared" si="7"/>
        <v/>
      </c>
      <c r="P15" s="15" t="str">
        <f t="shared" si="7"/>
        <v/>
      </c>
      <c r="Q15" s="15" t="str">
        <f t="shared" si="7"/>
        <v/>
      </c>
      <c r="R15" s="15" t="str">
        <f t="shared" si="7"/>
        <v/>
      </c>
      <c r="S15" s="15" t="str">
        <f t="shared" si="7"/>
        <v xml:space="preserve"> </v>
      </c>
      <c r="T15" s="15" t="str">
        <f t="shared" si="7"/>
        <v/>
      </c>
      <c r="U15" s="15" t="str">
        <f t="shared" si="7"/>
        <v xml:space="preserve"> </v>
      </c>
      <c r="V15" s="15" t="str">
        <f t="shared" si="7"/>
        <v/>
      </c>
      <c r="W15" s="15" t="str">
        <f t="shared" si="7"/>
        <v/>
      </c>
      <c r="X15" s="15" t="str">
        <f t="shared" si="7"/>
        <v xml:space="preserve"> </v>
      </c>
      <c r="Y15" s="15" t="str">
        <f t="shared" si="7"/>
        <v/>
      </c>
      <c r="Z15" s="15" t="str">
        <f t="shared" si="7"/>
        <v/>
      </c>
      <c r="AA15" s="15" t="str">
        <f t="shared" si="7"/>
        <v/>
      </c>
      <c r="AB15" s="15" t="str">
        <f t="shared" si="7"/>
        <v/>
      </c>
      <c r="AC15" s="5" t="str">
        <f t="shared" si="7"/>
        <v/>
      </c>
    </row>
    <row r="16" spans="2:30" s="30" customFormat="1" ht="15.75" x14ac:dyDescent="0.25">
      <c r="B16" s="36">
        <v>7</v>
      </c>
      <c r="C16" s="36">
        <v>9</v>
      </c>
      <c r="D16" s="36">
        <v>12</v>
      </c>
      <c r="E16" s="36"/>
      <c r="F16" s="12">
        <v>7</v>
      </c>
      <c r="G16" s="4">
        <f t="shared" ca="1" si="4"/>
        <v>7</v>
      </c>
      <c r="H16" s="19">
        <f t="shared" ca="1" si="5"/>
        <v>9</v>
      </c>
      <c r="I16" s="69">
        <f t="shared" ca="1" si="6"/>
        <v>23</v>
      </c>
      <c r="J16" s="92"/>
      <c r="K16" s="97"/>
      <c r="L16" s="76"/>
      <c r="M16" s="98"/>
      <c r="N16" s="32" t="str">
        <f t="shared" si="7"/>
        <v/>
      </c>
      <c r="O16" s="15" t="str">
        <f t="shared" si="7"/>
        <v/>
      </c>
      <c r="P16" s="15" t="str">
        <f t="shared" si="7"/>
        <v/>
      </c>
      <c r="Q16" s="15" t="str">
        <f t="shared" si="7"/>
        <v/>
      </c>
      <c r="R16" s="15" t="str">
        <f t="shared" si="7"/>
        <v/>
      </c>
      <c r="S16" s="15" t="str">
        <f t="shared" si="7"/>
        <v/>
      </c>
      <c r="T16" s="15" t="str">
        <f t="shared" si="7"/>
        <v xml:space="preserve"> </v>
      </c>
      <c r="U16" s="15" t="str">
        <f t="shared" si="7"/>
        <v/>
      </c>
      <c r="V16" s="15" t="str">
        <f t="shared" si="7"/>
        <v xml:space="preserve"> </v>
      </c>
      <c r="W16" s="15" t="str">
        <f t="shared" si="7"/>
        <v/>
      </c>
      <c r="X16" s="15" t="str">
        <f t="shared" si="7"/>
        <v/>
      </c>
      <c r="Y16" s="15" t="str">
        <f t="shared" si="7"/>
        <v xml:space="preserve"> </v>
      </c>
      <c r="Z16" s="15" t="str">
        <f t="shared" si="7"/>
        <v/>
      </c>
      <c r="AA16" s="15" t="str">
        <f t="shared" si="7"/>
        <v/>
      </c>
      <c r="AB16" s="15" t="str">
        <f t="shared" si="7"/>
        <v/>
      </c>
      <c r="AC16" s="5" t="str">
        <f t="shared" si="7"/>
        <v/>
      </c>
    </row>
    <row r="17" spans="2:29" s="30" customFormat="1" ht="15.75" x14ac:dyDescent="0.25">
      <c r="B17" s="36">
        <v>8</v>
      </c>
      <c r="C17" s="36">
        <v>10</v>
      </c>
      <c r="D17" s="36">
        <v>13</v>
      </c>
      <c r="E17" s="36"/>
      <c r="F17" s="12">
        <v>8</v>
      </c>
      <c r="G17" s="4">
        <f t="shared" ca="1" si="4"/>
        <v>8</v>
      </c>
      <c r="H17" s="19">
        <f t="shared" ca="1" si="5"/>
        <v>13</v>
      </c>
      <c r="I17" s="69">
        <f t="shared" ca="1" si="6"/>
        <v>30</v>
      </c>
      <c r="J17" s="92"/>
      <c r="K17" s="97"/>
      <c r="L17" s="76"/>
      <c r="M17" s="98"/>
      <c r="N17" s="32" t="str">
        <f t="shared" si="7"/>
        <v/>
      </c>
      <c r="O17" s="15" t="str">
        <f t="shared" si="7"/>
        <v/>
      </c>
      <c r="P17" s="15" t="str">
        <f t="shared" si="7"/>
        <v/>
      </c>
      <c r="Q17" s="15" t="str">
        <f t="shared" si="7"/>
        <v/>
      </c>
      <c r="R17" s="15" t="str">
        <f t="shared" si="7"/>
        <v/>
      </c>
      <c r="S17" s="15" t="str">
        <f t="shared" si="7"/>
        <v/>
      </c>
      <c r="T17" s="15" t="str">
        <f t="shared" si="7"/>
        <v/>
      </c>
      <c r="U17" s="15" t="str">
        <f t="shared" si="7"/>
        <v xml:space="preserve"> </v>
      </c>
      <c r="V17" s="15" t="str">
        <f t="shared" si="7"/>
        <v/>
      </c>
      <c r="W17" s="15" t="str">
        <f t="shared" si="7"/>
        <v xml:space="preserve"> </v>
      </c>
      <c r="X17" s="15" t="str">
        <f t="shared" si="7"/>
        <v/>
      </c>
      <c r="Y17" s="15" t="str">
        <f t="shared" si="7"/>
        <v/>
      </c>
      <c r="Z17" s="15" t="str">
        <f t="shared" si="7"/>
        <v xml:space="preserve"> </v>
      </c>
      <c r="AA17" s="15" t="str">
        <f t="shared" si="7"/>
        <v/>
      </c>
      <c r="AB17" s="15" t="str">
        <f t="shared" si="7"/>
        <v/>
      </c>
      <c r="AC17" s="5" t="str">
        <f t="shared" si="7"/>
        <v/>
      </c>
    </row>
    <row r="18" spans="2:29" s="30" customFormat="1" ht="15.75" x14ac:dyDescent="0.25">
      <c r="B18" s="36">
        <v>9</v>
      </c>
      <c r="C18" s="36">
        <v>11</v>
      </c>
      <c r="D18" s="36">
        <v>14</v>
      </c>
      <c r="E18" s="36"/>
      <c r="F18" s="12">
        <v>9</v>
      </c>
      <c r="G18" s="4">
        <f t="shared" ca="1" si="4"/>
        <v>9</v>
      </c>
      <c r="H18" s="19">
        <f t="shared" ca="1" si="5"/>
        <v>14</v>
      </c>
      <c r="I18" s="69">
        <f t="shared" ca="1" si="6"/>
        <v>37</v>
      </c>
      <c r="J18" s="92"/>
      <c r="K18" s="97"/>
      <c r="L18" s="76"/>
      <c r="M18" s="98"/>
      <c r="N18" s="32" t="str">
        <f t="shared" si="7"/>
        <v/>
      </c>
      <c r="O18" s="15" t="str">
        <f t="shared" si="7"/>
        <v/>
      </c>
      <c r="P18" s="15" t="str">
        <f t="shared" si="7"/>
        <v/>
      </c>
      <c r="Q18" s="15" t="str">
        <f t="shared" si="7"/>
        <v/>
      </c>
      <c r="R18" s="15" t="str">
        <f t="shared" si="7"/>
        <v/>
      </c>
      <c r="S18" s="15" t="str">
        <f t="shared" si="7"/>
        <v/>
      </c>
      <c r="T18" s="15" t="str">
        <f t="shared" si="7"/>
        <v/>
      </c>
      <c r="U18" s="15" t="str">
        <f t="shared" si="7"/>
        <v/>
      </c>
      <c r="V18" s="15" t="str">
        <f t="shared" si="7"/>
        <v xml:space="preserve"> </v>
      </c>
      <c r="W18" s="15" t="str">
        <f t="shared" si="7"/>
        <v/>
      </c>
      <c r="X18" s="15" t="str">
        <f t="shared" si="7"/>
        <v xml:space="preserve"> </v>
      </c>
      <c r="Y18" s="15" t="str">
        <f t="shared" si="7"/>
        <v/>
      </c>
      <c r="Z18" s="15" t="str">
        <f t="shared" si="7"/>
        <v/>
      </c>
      <c r="AA18" s="15" t="str">
        <f t="shared" si="7"/>
        <v xml:space="preserve"> </v>
      </c>
      <c r="AB18" s="15" t="str">
        <f t="shared" si="7"/>
        <v/>
      </c>
      <c r="AC18" s="5" t="str">
        <f t="shared" si="7"/>
        <v/>
      </c>
    </row>
    <row r="19" spans="2:29" s="30" customFormat="1" ht="15.75" x14ac:dyDescent="0.25">
      <c r="B19" s="36">
        <v>10</v>
      </c>
      <c r="C19" s="36">
        <v>12</v>
      </c>
      <c r="D19" s="36">
        <v>15</v>
      </c>
      <c r="E19" s="36"/>
      <c r="F19" s="12">
        <v>10</v>
      </c>
      <c r="G19" s="4">
        <f t="shared" ca="1" si="4"/>
        <v>13</v>
      </c>
      <c r="H19" s="19">
        <f t="shared" ca="1" si="5"/>
        <v>23</v>
      </c>
      <c r="I19" s="69">
        <f t="shared" ca="1" si="6"/>
        <v>49</v>
      </c>
      <c r="J19" s="92"/>
      <c r="K19" s="97"/>
      <c r="L19" s="76"/>
      <c r="M19" s="98"/>
      <c r="N19" s="32" t="str">
        <f t="shared" si="7"/>
        <v/>
      </c>
      <c r="O19" s="15" t="str">
        <f t="shared" si="7"/>
        <v/>
      </c>
      <c r="P19" s="15" t="str">
        <f t="shared" si="7"/>
        <v/>
      </c>
      <c r="Q19" s="15" t="str">
        <f t="shared" si="7"/>
        <v/>
      </c>
      <c r="R19" s="15" t="str">
        <f t="shared" si="7"/>
        <v/>
      </c>
      <c r="S19" s="15" t="str">
        <f t="shared" si="7"/>
        <v/>
      </c>
      <c r="T19" s="15" t="str">
        <f t="shared" si="7"/>
        <v/>
      </c>
      <c r="U19" s="15" t="str">
        <f t="shared" si="7"/>
        <v/>
      </c>
      <c r="V19" s="15" t="str">
        <f t="shared" si="7"/>
        <v/>
      </c>
      <c r="W19" s="15" t="str">
        <f t="shared" si="7"/>
        <v xml:space="preserve"> </v>
      </c>
      <c r="X19" s="15" t="str">
        <f t="shared" si="7"/>
        <v/>
      </c>
      <c r="Y19" s="15" t="str">
        <f t="shared" si="7"/>
        <v xml:space="preserve"> </v>
      </c>
      <c r="Z19" s="15" t="str">
        <f t="shared" si="7"/>
        <v/>
      </c>
      <c r="AA19" s="15" t="str">
        <f t="shared" si="7"/>
        <v/>
      </c>
      <c r="AB19" s="15" t="str">
        <f t="shared" si="7"/>
        <v xml:space="preserve"> </v>
      </c>
      <c r="AC19" s="5" t="str">
        <f t="shared" si="7"/>
        <v/>
      </c>
    </row>
    <row r="20" spans="2:29" s="30" customFormat="1" ht="15.75" x14ac:dyDescent="0.25">
      <c r="B20" s="36">
        <v>11</v>
      </c>
      <c r="C20" s="36">
        <v>13</v>
      </c>
      <c r="D20" s="36">
        <v>16</v>
      </c>
      <c r="E20" s="36"/>
      <c r="F20" s="12">
        <v>11</v>
      </c>
      <c r="G20" s="4">
        <f t="shared" ca="1" si="4"/>
        <v>14</v>
      </c>
      <c r="H20" s="19">
        <f t="shared" ca="1" si="5"/>
        <v>30</v>
      </c>
      <c r="I20" s="69">
        <f t="shared" ca="1" si="6"/>
        <v>99</v>
      </c>
      <c r="J20" s="92"/>
      <c r="K20" s="97"/>
      <c r="L20" s="76"/>
      <c r="M20" s="98"/>
      <c r="N20" s="32" t="str">
        <f t="shared" si="7"/>
        <v/>
      </c>
      <c r="O20" s="15" t="str">
        <f t="shared" si="7"/>
        <v/>
      </c>
      <c r="P20" s="15" t="str">
        <f t="shared" si="7"/>
        <v/>
      </c>
      <c r="Q20" s="15" t="str">
        <f t="shared" si="7"/>
        <v/>
      </c>
      <c r="R20" s="15" t="str">
        <f t="shared" si="7"/>
        <v/>
      </c>
      <c r="S20" s="15" t="str">
        <f t="shared" si="7"/>
        <v/>
      </c>
      <c r="T20" s="15" t="str">
        <f t="shared" si="7"/>
        <v/>
      </c>
      <c r="U20" s="15" t="str">
        <f t="shared" si="7"/>
        <v/>
      </c>
      <c r="V20" s="15" t="str">
        <f t="shared" si="7"/>
        <v/>
      </c>
      <c r="W20" s="15" t="str">
        <f t="shared" si="7"/>
        <v/>
      </c>
      <c r="X20" s="15" t="str">
        <f t="shared" si="7"/>
        <v xml:space="preserve"> </v>
      </c>
      <c r="Y20" s="15" t="str">
        <f t="shared" si="7"/>
        <v/>
      </c>
      <c r="Z20" s="15" t="str">
        <f t="shared" si="7"/>
        <v xml:space="preserve"> </v>
      </c>
      <c r="AA20" s="15" t="str">
        <f t="shared" si="7"/>
        <v/>
      </c>
      <c r="AB20" s="15" t="str">
        <f t="shared" si="7"/>
        <v/>
      </c>
      <c r="AC20" s="5" t="str">
        <f t="shared" si="7"/>
        <v xml:space="preserve"> </v>
      </c>
    </row>
    <row r="21" spans="2:29" s="30" customFormat="1" ht="15.75" x14ac:dyDescent="0.25">
      <c r="B21" s="36">
        <v>12</v>
      </c>
      <c r="C21" s="36">
        <v>14</v>
      </c>
      <c r="D21" s="36">
        <v>1</v>
      </c>
      <c r="E21" s="36"/>
      <c r="F21" s="12">
        <v>12</v>
      </c>
      <c r="G21" s="4">
        <f t="shared" ca="1" si="4"/>
        <v>23</v>
      </c>
      <c r="H21" s="19">
        <f t="shared" ca="1" si="5"/>
        <v>37</v>
      </c>
      <c r="I21" s="69">
        <f t="shared" ca="1" si="6"/>
        <v>1</v>
      </c>
      <c r="J21" s="92"/>
      <c r="K21" s="97"/>
      <c r="L21" s="76"/>
      <c r="M21" s="98"/>
      <c r="N21" s="32" t="str">
        <f t="shared" si="7"/>
        <v xml:space="preserve"> </v>
      </c>
      <c r="O21" s="15" t="str">
        <f t="shared" si="7"/>
        <v/>
      </c>
      <c r="P21" s="15" t="str">
        <f t="shared" si="7"/>
        <v/>
      </c>
      <c r="Q21" s="15" t="str">
        <f t="shared" si="7"/>
        <v/>
      </c>
      <c r="R21" s="15" t="str">
        <f t="shared" si="7"/>
        <v/>
      </c>
      <c r="S21" s="15" t="str">
        <f t="shared" si="7"/>
        <v/>
      </c>
      <c r="T21" s="15" t="str">
        <f t="shared" si="7"/>
        <v/>
      </c>
      <c r="U21" s="15" t="str">
        <f t="shared" si="7"/>
        <v/>
      </c>
      <c r="V21" s="15" t="str">
        <f t="shared" si="7"/>
        <v/>
      </c>
      <c r="W21" s="15" t="str">
        <f t="shared" si="7"/>
        <v/>
      </c>
      <c r="X21" s="15" t="str">
        <f t="shared" si="7"/>
        <v/>
      </c>
      <c r="Y21" s="15" t="str">
        <f t="shared" si="7"/>
        <v xml:space="preserve"> </v>
      </c>
      <c r="Z21" s="15" t="str">
        <f t="shared" si="7"/>
        <v/>
      </c>
      <c r="AA21" s="15" t="str">
        <f t="shared" si="7"/>
        <v xml:space="preserve"> </v>
      </c>
      <c r="AB21" s="15" t="str">
        <f t="shared" si="7"/>
        <v/>
      </c>
      <c r="AC21" s="5" t="str">
        <f t="shared" si="7"/>
        <v/>
      </c>
    </row>
    <row r="22" spans="2:29" s="30" customFormat="1" ht="15.75" x14ac:dyDescent="0.25">
      <c r="B22" s="36">
        <v>13</v>
      </c>
      <c r="C22" s="36">
        <v>15</v>
      </c>
      <c r="D22" s="36">
        <v>2</v>
      </c>
      <c r="E22" s="36"/>
      <c r="F22" s="12">
        <v>13</v>
      </c>
      <c r="G22" s="4">
        <f t="shared" ca="1" si="4"/>
        <v>30</v>
      </c>
      <c r="H22" s="19">
        <f t="shared" ca="1" si="5"/>
        <v>49</v>
      </c>
      <c r="I22" s="69">
        <f t="shared" ca="1" si="6"/>
        <v>2</v>
      </c>
      <c r="J22" s="92"/>
      <c r="K22" s="97"/>
      <c r="L22" s="76"/>
      <c r="M22" s="98"/>
      <c r="N22" s="32" t="str">
        <f t="shared" si="7"/>
        <v/>
      </c>
      <c r="O22" s="15" t="str">
        <f t="shared" si="7"/>
        <v xml:space="preserve"> </v>
      </c>
      <c r="P22" s="15" t="str">
        <f t="shared" si="7"/>
        <v/>
      </c>
      <c r="Q22" s="15" t="str">
        <f t="shared" si="7"/>
        <v/>
      </c>
      <c r="R22" s="15" t="str">
        <f t="shared" si="7"/>
        <v/>
      </c>
      <c r="S22" s="15" t="str">
        <f t="shared" si="7"/>
        <v/>
      </c>
      <c r="T22" s="15" t="str">
        <f t="shared" si="7"/>
        <v/>
      </c>
      <c r="U22" s="15" t="str">
        <f t="shared" si="7"/>
        <v/>
      </c>
      <c r="V22" s="15" t="str">
        <f t="shared" si="7"/>
        <v/>
      </c>
      <c r="W22" s="15" t="str">
        <f t="shared" si="7"/>
        <v/>
      </c>
      <c r="X22" s="15" t="str">
        <f t="shared" si="7"/>
        <v/>
      </c>
      <c r="Y22" s="15" t="str">
        <f t="shared" si="7"/>
        <v/>
      </c>
      <c r="Z22" s="15" t="str">
        <f t="shared" si="7"/>
        <v xml:space="preserve"> </v>
      </c>
      <c r="AA22" s="15" t="str">
        <f t="shared" si="7"/>
        <v/>
      </c>
      <c r="AB22" s="15" t="str">
        <f t="shared" si="7"/>
        <v xml:space="preserve"> </v>
      </c>
      <c r="AC22" s="5" t="str">
        <f t="shared" si="7"/>
        <v/>
      </c>
    </row>
    <row r="23" spans="2:29" s="30" customFormat="1" ht="15.75" x14ac:dyDescent="0.25">
      <c r="B23" s="36">
        <v>14</v>
      </c>
      <c r="C23" s="36">
        <v>16</v>
      </c>
      <c r="D23" s="36">
        <v>3</v>
      </c>
      <c r="E23" s="36"/>
      <c r="F23" s="12">
        <v>14</v>
      </c>
      <c r="G23" s="4">
        <f t="shared" ca="1" si="4"/>
        <v>37</v>
      </c>
      <c r="H23" s="19">
        <f t="shared" ca="1" si="5"/>
        <v>99</v>
      </c>
      <c r="I23" s="69">
        <f t="shared" ca="1" si="6"/>
        <v>3</v>
      </c>
      <c r="J23" s="92"/>
      <c r="K23" s="97"/>
      <c r="L23" s="76"/>
      <c r="M23" s="98"/>
      <c r="N23" s="32" t="str">
        <f t="shared" si="7"/>
        <v/>
      </c>
      <c r="O23" s="15" t="str">
        <f t="shared" si="7"/>
        <v/>
      </c>
      <c r="P23" s="15" t="str">
        <f t="shared" si="7"/>
        <v xml:space="preserve"> </v>
      </c>
      <c r="Q23" s="15" t="str">
        <f t="shared" si="7"/>
        <v/>
      </c>
      <c r="R23" s="15" t="str">
        <f t="shared" si="7"/>
        <v/>
      </c>
      <c r="S23" s="15" t="str">
        <f t="shared" si="7"/>
        <v/>
      </c>
      <c r="T23" s="15" t="str">
        <f t="shared" si="7"/>
        <v/>
      </c>
      <c r="U23" s="15" t="str">
        <f t="shared" si="7"/>
        <v/>
      </c>
      <c r="V23" s="15" t="str">
        <f t="shared" si="7"/>
        <v/>
      </c>
      <c r="W23" s="15" t="str">
        <f t="shared" si="7"/>
        <v/>
      </c>
      <c r="X23" s="15" t="str">
        <f t="shared" si="7"/>
        <v/>
      </c>
      <c r="Y23" s="15" t="str">
        <f t="shared" si="7"/>
        <v/>
      </c>
      <c r="Z23" s="15" t="str">
        <f t="shared" si="7"/>
        <v/>
      </c>
      <c r="AA23" s="15" t="str">
        <f t="shared" si="7"/>
        <v xml:space="preserve"> </v>
      </c>
      <c r="AB23" s="15" t="str">
        <f t="shared" si="7"/>
        <v/>
      </c>
      <c r="AC23" s="5" t="str">
        <f t="shared" si="7"/>
        <v xml:space="preserve"> </v>
      </c>
    </row>
    <row r="24" spans="2:29" s="30" customFormat="1" ht="15.75" x14ac:dyDescent="0.25">
      <c r="B24" s="36">
        <v>15</v>
      </c>
      <c r="C24" s="36">
        <v>1</v>
      </c>
      <c r="D24" s="36">
        <v>4</v>
      </c>
      <c r="E24" s="36"/>
      <c r="F24" s="12">
        <v>15</v>
      </c>
      <c r="G24" s="4">
        <f t="shared" ca="1" si="4"/>
        <v>49</v>
      </c>
      <c r="H24" s="19">
        <f t="shared" ca="1" si="5"/>
        <v>1</v>
      </c>
      <c r="I24" s="69">
        <f t="shared" ca="1" si="6"/>
        <v>4</v>
      </c>
      <c r="J24" s="92"/>
      <c r="K24" s="97"/>
      <c r="L24" s="76"/>
      <c r="M24" s="98"/>
      <c r="N24" s="32" t="str">
        <f t="shared" si="7"/>
        <v xml:space="preserve"> </v>
      </c>
      <c r="O24" s="15" t="str">
        <f t="shared" si="7"/>
        <v/>
      </c>
      <c r="P24" s="15" t="str">
        <f t="shared" si="7"/>
        <v/>
      </c>
      <c r="Q24" s="15" t="str">
        <f t="shared" si="7"/>
        <v xml:space="preserve"> </v>
      </c>
      <c r="R24" s="15" t="str">
        <f t="shared" si="7"/>
        <v/>
      </c>
      <c r="S24" s="15" t="str">
        <f t="shared" si="7"/>
        <v/>
      </c>
      <c r="T24" s="15" t="str">
        <f t="shared" si="7"/>
        <v/>
      </c>
      <c r="U24" s="15" t="str">
        <f t="shared" si="7"/>
        <v/>
      </c>
      <c r="V24" s="15" t="str">
        <f t="shared" si="7"/>
        <v/>
      </c>
      <c r="W24" s="15" t="str">
        <f t="shared" si="7"/>
        <v/>
      </c>
      <c r="X24" s="15" t="str">
        <f t="shared" si="7"/>
        <v/>
      </c>
      <c r="Y24" s="15" t="str">
        <f t="shared" si="7"/>
        <v/>
      </c>
      <c r="Z24" s="15" t="str">
        <f t="shared" si="7"/>
        <v/>
      </c>
      <c r="AA24" s="15" t="str">
        <f t="shared" si="7"/>
        <v/>
      </c>
      <c r="AB24" s="15" t="str">
        <f t="shared" si="7"/>
        <v xml:space="preserve"> </v>
      </c>
      <c r="AC24" s="5" t="str">
        <f t="shared" si="7"/>
        <v/>
      </c>
    </row>
    <row r="25" spans="2:29" s="30" customFormat="1" ht="16.5" thickBot="1" x14ac:dyDescent="0.3">
      <c r="B25" s="36">
        <v>16</v>
      </c>
      <c r="C25" s="36">
        <v>2</v>
      </c>
      <c r="D25" s="36">
        <v>5</v>
      </c>
      <c r="E25" s="36"/>
      <c r="F25" s="13">
        <v>16</v>
      </c>
      <c r="G25" s="6">
        <f t="shared" ca="1" si="4"/>
        <v>99</v>
      </c>
      <c r="H25" s="39">
        <f t="shared" ca="1" si="5"/>
        <v>2</v>
      </c>
      <c r="I25" s="40">
        <f t="shared" ca="1" si="6"/>
        <v>5</v>
      </c>
      <c r="J25" s="93"/>
      <c r="K25" s="99"/>
      <c r="L25" s="100"/>
      <c r="M25" s="101"/>
      <c r="N25" s="20" t="str">
        <f t="shared" si="7"/>
        <v/>
      </c>
      <c r="O25" s="16" t="str">
        <f t="shared" si="7"/>
        <v xml:space="preserve"> </v>
      </c>
      <c r="P25" s="16" t="str">
        <f t="shared" si="7"/>
        <v/>
      </c>
      <c r="Q25" s="16" t="str">
        <f t="shared" si="7"/>
        <v/>
      </c>
      <c r="R25" s="16" t="str">
        <f t="shared" si="7"/>
        <v xml:space="preserve"> </v>
      </c>
      <c r="S25" s="16" t="str">
        <f t="shared" si="7"/>
        <v/>
      </c>
      <c r="T25" s="16" t="str">
        <f t="shared" si="7"/>
        <v/>
      </c>
      <c r="U25" s="16" t="str">
        <f t="shared" si="7"/>
        <v/>
      </c>
      <c r="V25" s="16" t="str">
        <f t="shared" si="7"/>
        <v/>
      </c>
      <c r="W25" s="16" t="str">
        <f t="shared" si="7"/>
        <v/>
      </c>
      <c r="X25" s="16" t="str">
        <f t="shared" si="7"/>
        <v/>
      </c>
      <c r="Y25" s="16" t="str">
        <f t="shared" si="7"/>
        <v/>
      </c>
      <c r="Z25" s="16" t="str">
        <f t="shared" si="7"/>
        <v/>
      </c>
      <c r="AA25" s="16" t="str">
        <f t="shared" si="7"/>
        <v/>
      </c>
      <c r="AB25" s="16" t="str">
        <f t="shared" si="7"/>
        <v/>
      </c>
      <c r="AC25" s="43" t="str">
        <f t="shared" si="7"/>
        <v xml:space="preserve"> </v>
      </c>
    </row>
    <row r="26" spans="2:29" ht="15.75" x14ac:dyDescent="0.25">
      <c r="K26" s="151" t="s">
        <v>4</v>
      </c>
      <c r="L26" s="152"/>
      <c r="M26" s="153"/>
      <c r="N26" s="102" t="str">
        <f t="shared" ref="N26:AB26" si="8">IF(SUM(N10:N25)&lt;1," ",SUM(N10:N25))</f>
        <v xml:space="preserve"> </v>
      </c>
      <c r="O26" s="103" t="str">
        <f t="shared" si="8"/>
        <v xml:space="preserve"> </v>
      </c>
      <c r="P26" s="103" t="str">
        <f t="shared" si="8"/>
        <v xml:space="preserve"> </v>
      </c>
      <c r="Q26" s="103" t="str">
        <f t="shared" si="8"/>
        <v xml:space="preserve"> </v>
      </c>
      <c r="R26" s="103" t="str">
        <f t="shared" si="8"/>
        <v xml:space="preserve"> </v>
      </c>
      <c r="S26" s="103" t="str">
        <f t="shared" si="8"/>
        <v xml:space="preserve"> </v>
      </c>
      <c r="T26" s="103" t="str">
        <f t="shared" si="8"/>
        <v xml:space="preserve"> </v>
      </c>
      <c r="U26" s="103" t="str">
        <f t="shared" si="8"/>
        <v xml:space="preserve"> </v>
      </c>
      <c r="V26" s="103" t="str">
        <f t="shared" si="8"/>
        <v xml:space="preserve"> </v>
      </c>
      <c r="W26" s="103" t="str">
        <f t="shared" si="8"/>
        <v xml:space="preserve"> </v>
      </c>
      <c r="X26" s="103" t="str">
        <f t="shared" si="8"/>
        <v xml:space="preserve"> </v>
      </c>
      <c r="Y26" s="103" t="str">
        <f t="shared" si="8"/>
        <v xml:space="preserve"> </v>
      </c>
      <c r="Z26" s="103" t="str">
        <f t="shared" si="8"/>
        <v xml:space="preserve"> </v>
      </c>
      <c r="AA26" s="103" t="str">
        <f t="shared" si="8"/>
        <v xml:space="preserve"> </v>
      </c>
      <c r="AB26" s="45" t="str">
        <f t="shared" si="8"/>
        <v xml:space="preserve"> </v>
      </c>
      <c r="AC26" s="46" t="str">
        <f t="shared" ref="AC26" si="9">IF(SUM(AC10:AC25)&lt;1," ",SUM(AC10:AC25))</f>
        <v xml:space="preserve"> </v>
      </c>
    </row>
    <row r="27" spans="2:29" ht="16.5" thickBot="1" x14ac:dyDescent="0.3">
      <c r="K27" s="141" t="s">
        <v>5</v>
      </c>
      <c r="L27" s="142"/>
      <c r="M27" s="143"/>
      <c r="N27" s="120" t="e">
        <f>RANK(N26,$N26:$AL26,0)</f>
        <v>#VALUE!</v>
      </c>
      <c r="O27" s="121" t="e">
        <f t="shared" ref="O27:AC27" si="10">RANK(O26,$N26:$AL26,0)</f>
        <v>#VALUE!</v>
      </c>
      <c r="P27" s="121" t="e">
        <f t="shared" si="10"/>
        <v>#VALUE!</v>
      </c>
      <c r="Q27" s="121" t="e">
        <f t="shared" si="10"/>
        <v>#VALUE!</v>
      </c>
      <c r="R27" s="121" t="e">
        <f t="shared" si="10"/>
        <v>#VALUE!</v>
      </c>
      <c r="S27" s="121" t="e">
        <f t="shared" si="10"/>
        <v>#VALUE!</v>
      </c>
      <c r="T27" s="121" t="e">
        <f t="shared" si="10"/>
        <v>#VALUE!</v>
      </c>
      <c r="U27" s="121" t="e">
        <f t="shared" si="10"/>
        <v>#VALUE!</v>
      </c>
      <c r="V27" s="121" t="e">
        <f t="shared" si="10"/>
        <v>#VALUE!</v>
      </c>
      <c r="W27" s="121" t="e">
        <f t="shared" si="10"/>
        <v>#VALUE!</v>
      </c>
      <c r="X27" s="121" t="e">
        <f t="shared" si="10"/>
        <v>#VALUE!</v>
      </c>
      <c r="Y27" s="121" t="e">
        <f t="shared" si="10"/>
        <v>#VALUE!</v>
      </c>
      <c r="Z27" s="121" t="e">
        <f t="shared" si="10"/>
        <v>#VALUE!</v>
      </c>
      <c r="AA27" s="121" t="e">
        <f t="shared" si="10"/>
        <v>#VALUE!</v>
      </c>
      <c r="AB27" s="121" t="e">
        <f t="shared" si="10"/>
        <v>#VALUE!</v>
      </c>
      <c r="AC27" s="122" t="e">
        <f t="shared" si="10"/>
        <v>#VALUE!</v>
      </c>
    </row>
    <row r="28" spans="2:29" x14ac:dyDescent="0.2">
      <c r="N28" s="7"/>
      <c r="O28" s="7"/>
      <c r="P28" s="7"/>
      <c r="Q28" s="7"/>
    </row>
    <row r="29" spans="2:29" s="31" customFormat="1" ht="135.75" customHeight="1" x14ac:dyDescent="0.2">
      <c r="N29" s="8" t="str">
        <f>+Names!$B$2</f>
        <v>Luke</v>
      </c>
      <c r="O29" s="8" t="str">
        <f>+Names!$B$3</f>
        <v>Ro</v>
      </c>
      <c r="P29" s="8" t="str">
        <f>+Names!$B$4</f>
        <v>Caleb</v>
      </c>
      <c r="Q29" s="8" t="str">
        <f>+Names!$B$5</f>
        <v>Zau</v>
      </c>
      <c r="R29" s="8" t="str">
        <f>+Names!$B$6</f>
        <v>Brady</v>
      </c>
      <c r="S29" s="8" t="str">
        <f>+Names!$B$7</f>
        <v>Theo</v>
      </c>
      <c r="T29" s="8" t="str">
        <f>+Names!$B$8</f>
        <v>Jonathan</v>
      </c>
      <c r="U29" s="8" t="str">
        <f>+Names!$B$9</f>
        <v>Brenton</v>
      </c>
      <c r="V29" s="8" t="str">
        <f>+Names!$B$10</f>
        <v>Jospe</v>
      </c>
      <c r="W29" s="8" t="str">
        <f>+Names!$B$11</f>
        <v>Emery</v>
      </c>
      <c r="X29" s="8" t="str">
        <f>+Names!$B$12</f>
        <v>Isaac</v>
      </c>
      <c r="Y29" s="8" t="str">
        <f>+Names!$B$13</f>
        <v>Alain</v>
      </c>
      <c r="Z29" s="8" t="str">
        <f>+Names!$B$14</f>
        <v>Silas</v>
      </c>
      <c r="AA29" s="8" t="str">
        <f>+Names!$B$15</f>
        <v>De</v>
      </c>
      <c r="AB29" s="8">
        <f>+Names!$B$19</f>
        <v>0</v>
      </c>
      <c r="AC29" s="8">
        <f>+Names!$B$20</f>
        <v>0</v>
      </c>
    </row>
  </sheetData>
  <sheetProtection sheet="1" objects="1" scenarios="1" selectLockedCells="1"/>
  <mergeCells count="20">
    <mergeCell ref="M6:N6"/>
    <mergeCell ref="G8:I8"/>
    <mergeCell ref="K8:M8"/>
    <mergeCell ref="K26:M26"/>
    <mergeCell ref="K27:M27"/>
    <mergeCell ref="N8:AC8"/>
    <mergeCell ref="F4:G4"/>
    <mergeCell ref="M4:N4"/>
    <mergeCell ref="S4:U4"/>
    <mergeCell ref="F5:G5"/>
    <mergeCell ref="M5:N5"/>
    <mergeCell ref="S5:U5"/>
    <mergeCell ref="F3:G3"/>
    <mergeCell ref="M3:N3"/>
    <mergeCell ref="S3:U3"/>
    <mergeCell ref="F1:AB1"/>
    <mergeCell ref="F2:G2"/>
    <mergeCell ref="I2:L2"/>
    <mergeCell ref="M2:N2"/>
    <mergeCell ref="R2:U2"/>
  </mergeCells>
  <conditionalFormatting sqref="F10:F25">
    <cfRule type="expression" dxfId="324" priority="34" stopIfTrue="1">
      <formula>$H$2=F10</formula>
    </cfRule>
  </conditionalFormatting>
  <conditionalFormatting sqref="G10">
    <cfRule type="expression" dxfId="323" priority="16" stopIfTrue="1">
      <formula>$K$10=1</formula>
    </cfRule>
    <cfRule type="expression" dxfId="322" priority="17" stopIfTrue="1">
      <formula>$L$10=1</formula>
    </cfRule>
    <cfRule type="expression" dxfId="321" priority="18" stopIfTrue="1">
      <formula>$M$10=1</formula>
    </cfRule>
  </conditionalFormatting>
  <conditionalFormatting sqref="G11:G25">
    <cfRule type="expression" dxfId="320" priority="19" stopIfTrue="1">
      <formula>K11=1</formula>
    </cfRule>
    <cfRule type="expression" dxfId="319" priority="20" stopIfTrue="1">
      <formula>L11=1</formula>
    </cfRule>
    <cfRule type="expression" dxfId="318" priority="21" stopIfTrue="1">
      <formula>M11=1</formula>
    </cfRule>
  </conditionalFormatting>
  <conditionalFormatting sqref="H10:H25">
    <cfRule type="expression" dxfId="317" priority="22" stopIfTrue="1">
      <formula>K10=2</formula>
    </cfRule>
    <cfRule type="expression" dxfId="316" priority="23" stopIfTrue="1">
      <formula>L10=2</formula>
    </cfRule>
    <cfRule type="expression" dxfId="315" priority="24" stopIfTrue="1">
      <formula>M10=2</formula>
    </cfRule>
  </conditionalFormatting>
  <conditionalFormatting sqref="I10:I25">
    <cfRule type="expression" dxfId="314" priority="25" stopIfTrue="1">
      <formula>K10=3</formula>
    </cfRule>
    <cfRule type="expression" dxfId="313" priority="26" stopIfTrue="1">
      <formula>L10=3</formula>
    </cfRule>
    <cfRule type="expression" dxfId="312" priority="27" stopIfTrue="1">
      <formula>M10=3</formula>
    </cfRule>
  </conditionalFormatting>
  <conditionalFormatting sqref="I3:N6">
    <cfRule type="expression" dxfId="311" priority="31" stopIfTrue="1">
      <formula>$M3="1st"</formula>
    </cfRule>
    <cfRule type="expression" dxfId="310" priority="32" stopIfTrue="1">
      <formula>$M3="2nd"</formula>
    </cfRule>
    <cfRule type="expression" dxfId="309" priority="33" stopIfTrue="1">
      <formula>$M3="3rd"</formula>
    </cfRule>
  </conditionalFormatting>
  <conditionalFormatting sqref="J10:J25">
    <cfRule type="expression" dxfId="308" priority="28" stopIfTrue="1">
      <formula>K10=4</formula>
    </cfRule>
    <cfRule type="expression" dxfId="307" priority="29" stopIfTrue="1">
      <formula>L10=4</formula>
    </cfRule>
    <cfRule type="expression" dxfId="306" priority="30" stopIfTrue="1">
      <formula>M10=4</formula>
    </cfRule>
  </conditionalFormatting>
  <conditionalFormatting sqref="N10:AC25">
    <cfRule type="cellIs" dxfId="305" priority="10" stopIfTrue="1" operator="equal">
      <formula>3</formula>
    </cfRule>
    <cfRule type="cellIs" dxfId="304" priority="11" stopIfTrue="1" operator="equal">
      <formula>2</formula>
    </cfRule>
    <cfRule type="cellIs" dxfId="303" priority="12" stopIfTrue="1" operator="equal">
      <formula>1</formula>
    </cfRule>
  </conditionalFormatting>
  <conditionalFormatting sqref="N27:AC27">
    <cfRule type="cellIs" dxfId="302" priority="1" operator="equal">
      <formula>3</formula>
    </cfRule>
    <cfRule type="cellIs" dxfId="301" priority="2" operator="equal">
      <formula>2</formula>
    </cfRule>
    <cfRule type="cellIs" dxfId="300" priority="3" operator="equal">
      <formula>1</formula>
    </cfRule>
  </conditionalFormatting>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1"/>
  <dimension ref="B1:AD28"/>
  <sheetViews>
    <sheetView showGridLines="0" zoomScaleNormal="100" workbookViewId="0">
      <selection activeCell="H2" sqref="H2"/>
    </sheetView>
  </sheetViews>
  <sheetFormatPr defaultColWidth="9.140625" defaultRowHeight="12.75" x14ac:dyDescent="0.2"/>
  <cols>
    <col min="1" max="1" width="8.42578125" customWidth="1"/>
    <col min="2" max="2" width="3.42578125" hidden="1" customWidth="1"/>
    <col min="3" max="3" width="3.7109375" hidden="1" customWidth="1"/>
    <col min="4" max="4" width="3.42578125" hidden="1" customWidth="1"/>
    <col min="5" max="5" width="8.5703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132"/>
      <c r="AC1" s="25"/>
      <c r="AD1" s="25"/>
    </row>
    <row r="2" spans="2:30" s="29" customFormat="1" ht="22.5" x14ac:dyDescent="0.45">
      <c r="F2" s="133" t="s">
        <v>2</v>
      </c>
      <c r="G2" s="134"/>
      <c r="H2" s="47">
        <v>1</v>
      </c>
      <c r="I2" s="135" t="str">
        <f>+Names!$C$1</f>
        <v>Driver</v>
      </c>
      <c r="J2" s="136"/>
      <c r="K2" s="136"/>
      <c r="L2" s="137"/>
      <c r="M2" s="130" t="s">
        <v>8</v>
      </c>
      <c r="N2" s="130"/>
      <c r="R2" s="138" t="s">
        <v>12</v>
      </c>
      <c r="S2" s="139"/>
      <c r="T2" s="139"/>
      <c r="U2" s="140"/>
    </row>
    <row r="3" spans="2:30" s="29" customFormat="1" ht="18.75" x14ac:dyDescent="0.3">
      <c r="E3" s="17"/>
      <c r="F3" s="128" t="s">
        <v>0</v>
      </c>
      <c r="G3" s="129"/>
      <c r="H3" s="48">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55"/>
      <c r="G6" s="56"/>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6"/>
      <c r="J8" s="87"/>
      <c r="K8" s="147" t="s">
        <v>34</v>
      </c>
      <c r="L8" s="147"/>
      <c r="M8" s="148"/>
      <c r="N8" s="154" t="s">
        <v>13</v>
      </c>
      <c r="O8" s="147"/>
      <c r="P8" s="147"/>
      <c r="Q8" s="147"/>
      <c r="R8" s="147"/>
      <c r="S8" s="147"/>
      <c r="T8" s="147"/>
      <c r="U8" s="147"/>
      <c r="V8" s="147"/>
      <c r="W8" s="147"/>
      <c r="X8" s="147"/>
      <c r="Y8" s="147"/>
      <c r="Z8" s="147"/>
      <c r="AA8" s="147"/>
      <c r="AB8" s="148"/>
    </row>
    <row r="9" spans="2:30" s="30" customFormat="1" ht="16.5" thickBot="1" x14ac:dyDescent="0.3">
      <c r="F9" s="14" t="s">
        <v>2</v>
      </c>
      <c r="G9" s="61" t="s">
        <v>0</v>
      </c>
      <c r="H9" s="62" t="s">
        <v>1</v>
      </c>
      <c r="I9" s="62" t="s">
        <v>6</v>
      </c>
      <c r="J9" s="63" t="s">
        <v>30</v>
      </c>
      <c r="K9" s="64"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7">
        <f>+Names!$A$15</f>
        <v>37</v>
      </c>
      <c r="AB9" s="58">
        <f>+Names!$A$16</f>
        <v>49</v>
      </c>
    </row>
    <row r="10" spans="2:30" s="30" customFormat="1" ht="15.75" x14ac:dyDescent="0.25">
      <c r="B10" s="36">
        <v>1</v>
      </c>
      <c r="C10" s="36">
        <v>3</v>
      </c>
      <c r="D10" s="36">
        <v>6</v>
      </c>
      <c r="E10" s="36"/>
      <c r="F10" s="11">
        <v>1</v>
      </c>
      <c r="G10" s="37">
        <f ca="1">INDIRECT(ADDRESS(B10+1,1,,,"Names"))</f>
        <v>1</v>
      </c>
      <c r="H10" s="18">
        <f t="shared" ref="H10:H24" ca="1" si="0">INDIRECT(ADDRESS(C10+1,1,,,"Names"))</f>
        <v>3</v>
      </c>
      <c r="I10" s="38">
        <f t="shared" ref="I10:I24" ca="1" si="1">INDIRECT(ADDRESS(D10+1,1,,,"Names"))</f>
        <v>6</v>
      </c>
      <c r="J10" s="105"/>
      <c r="K10" s="49"/>
      <c r="L10" s="81"/>
      <c r="M10" s="77"/>
      <c r="N10" s="51" t="str">
        <f>IF(ISNA(MATCH(COLUMN()-13,$B10:$E10,0)),"",IF($K10=MATCH(COLUMN()-13,$B10:$E10,0),3,IF($L10=MATCH(COLUMN()-13,$B10:$E10,0),2,IF($M10=MATCH(COLUMN()-13,$B10:$E10,0),1," "))))</f>
        <v xml:space="preserve"> </v>
      </c>
      <c r="O10" s="52" t="str">
        <f t="shared" ref="O10:AB11" si="2">IF(ISNA(MATCH(COLUMN()-13,$B10:$E10,0)),"",IF($K10=MATCH(COLUMN()-13,$B10:$E10,0),3,IF($L10=MATCH(COLUMN()-13,$B10:$E10,0),2,IF($M10=MATCH(COLUMN()-13,$B10:$E10,0),1," "))))</f>
        <v/>
      </c>
      <c r="P10" s="52" t="str">
        <f t="shared" si="2"/>
        <v xml:space="preserve"> </v>
      </c>
      <c r="Q10" s="52" t="str">
        <f t="shared" si="2"/>
        <v/>
      </c>
      <c r="R10" s="52" t="str">
        <f t="shared" si="2"/>
        <v/>
      </c>
      <c r="S10" s="52" t="str">
        <f t="shared" si="2"/>
        <v xml:space="preserve"> </v>
      </c>
      <c r="T10" s="52" t="str">
        <f t="shared" si="2"/>
        <v/>
      </c>
      <c r="U10" s="52" t="str">
        <f t="shared" si="2"/>
        <v/>
      </c>
      <c r="V10" s="52" t="str">
        <f t="shared" si="2"/>
        <v/>
      </c>
      <c r="W10" s="52" t="str">
        <f t="shared" si="2"/>
        <v/>
      </c>
      <c r="X10" s="52" t="str">
        <f t="shared" si="2"/>
        <v/>
      </c>
      <c r="Y10" s="52" t="str">
        <f t="shared" si="2"/>
        <v/>
      </c>
      <c r="Z10" s="52" t="str">
        <f t="shared" si="2"/>
        <v/>
      </c>
      <c r="AA10" s="52" t="str">
        <f t="shared" si="2"/>
        <v/>
      </c>
      <c r="AB10" s="53" t="str">
        <f t="shared" si="2"/>
        <v/>
      </c>
    </row>
    <row r="11" spans="2:30" s="30" customFormat="1" ht="15.75" x14ac:dyDescent="0.25">
      <c r="B11" s="36">
        <v>2</v>
      </c>
      <c r="C11" s="36">
        <v>4</v>
      </c>
      <c r="D11" s="36">
        <v>7</v>
      </c>
      <c r="E11" s="36"/>
      <c r="F11" s="12">
        <v>2</v>
      </c>
      <c r="G11" s="4">
        <f t="shared" ref="G11:G24" ca="1" si="3">INDIRECT(ADDRESS(B11+1,1,,,"Names"))</f>
        <v>2</v>
      </c>
      <c r="H11" s="19">
        <f t="shared" ca="1" si="0"/>
        <v>4</v>
      </c>
      <c r="I11" s="69">
        <f t="shared" ca="1" si="1"/>
        <v>7</v>
      </c>
      <c r="J11" s="92"/>
      <c r="K11" s="97"/>
      <c r="L11" s="76"/>
      <c r="M11" s="98"/>
      <c r="N11" s="32" t="str">
        <f t="shared" ref="N11:AB24" si="4">IF(ISNA(MATCH(COLUMN()-13,$B11:$E11,0)),"",IF($K11=MATCH(COLUMN()-13,$B11:$E11,0),3,IF($L11=MATCH(COLUMN()-13,$B11:$E11,0),2,IF($M11=MATCH(COLUMN()-13,$B11:$E11,0),1," "))))</f>
        <v/>
      </c>
      <c r="O11" s="15" t="str">
        <f t="shared" si="2"/>
        <v xml:space="preserve"> </v>
      </c>
      <c r="P11" s="15" t="str">
        <f t="shared" si="2"/>
        <v/>
      </c>
      <c r="Q11" s="15" t="str">
        <f t="shared" si="2"/>
        <v xml:space="preserve"> </v>
      </c>
      <c r="R11" s="15" t="str">
        <f t="shared" si="2"/>
        <v/>
      </c>
      <c r="S11" s="15" t="str">
        <f t="shared" si="2"/>
        <v/>
      </c>
      <c r="T11" s="15" t="str">
        <f t="shared" si="2"/>
        <v xml:space="preserve"> </v>
      </c>
      <c r="U11" s="15" t="str">
        <f t="shared" si="2"/>
        <v/>
      </c>
      <c r="V11" s="15" t="str">
        <f t="shared" si="2"/>
        <v/>
      </c>
      <c r="W11" s="15" t="str">
        <f t="shared" si="2"/>
        <v/>
      </c>
      <c r="X11" s="15" t="str">
        <f t="shared" si="2"/>
        <v/>
      </c>
      <c r="Y11" s="15" t="str">
        <f t="shared" si="2"/>
        <v/>
      </c>
      <c r="Z11" s="15" t="str">
        <f t="shared" si="2"/>
        <v/>
      </c>
      <c r="AA11" s="15" t="str">
        <f t="shared" si="2"/>
        <v/>
      </c>
      <c r="AB11" s="5" t="str">
        <f t="shared" si="2"/>
        <v/>
      </c>
    </row>
    <row r="12" spans="2:30" s="30" customFormat="1" ht="15.75" x14ac:dyDescent="0.25">
      <c r="B12" s="36">
        <v>3</v>
      </c>
      <c r="C12" s="36">
        <v>5</v>
      </c>
      <c r="D12" s="36">
        <v>8</v>
      </c>
      <c r="E12" s="36"/>
      <c r="F12" s="12">
        <v>3</v>
      </c>
      <c r="G12" s="4">
        <f t="shared" ca="1" si="3"/>
        <v>3</v>
      </c>
      <c r="H12" s="19">
        <f t="shared" ca="1" si="0"/>
        <v>5</v>
      </c>
      <c r="I12" s="69">
        <f t="shared" ca="1" si="1"/>
        <v>8</v>
      </c>
      <c r="J12" s="92"/>
      <c r="K12" s="97"/>
      <c r="L12" s="76"/>
      <c r="M12" s="98"/>
      <c r="N12" s="32" t="str">
        <f t="shared" si="4"/>
        <v/>
      </c>
      <c r="O12" s="15" t="str">
        <f t="shared" si="4"/>
        <v/>
      </c>
      <c r="P12" s="15" t="str">
        <f t="shared" si="4"/>
        <v xml:space="preserve"> </v>
      </c>
      <c r="Q12" s="15" t="str">
        <f t="shared" si="4"/>
        <v/>
      </c>
      <c r="R12" s="15" t="str">
        <f t="shared" si="4"/>
        <v xml:space="preserve"> </v>
      </c>
      <c r="S12" s="15" t="str">
        <f t="shared" si="4"/>
        <v/>
      </c>
      <c r="T12" s="15" t="str">
        <f t="shared" si="4"/>
        <v/>
      </c>
      <c r="U12" s="15" t="str">
        <f t="shared" si="4"/>
        <v xml:space="preserve"> </v>
      </c>
      <c r="V12" s="15" t="str">
        <f t="shared" si="4"/>
        <v/>
      </c>
      <c r="W12" s="15" t="str">
        <f t="shared" si="4"/>
        <v/>
      </c>
      <c r="X12" s="15" t="str">
        <f t="shared" si="4"/>
        <v/>
      </c>
      <c r="Y12" s="15" t="str">
        <f t="shared" si="4"/>
        <v/>
      </c>
      <c r="Z12" s="15" t="str">
        <f t="shared" si="4"/>
        <v/>
      </c>
      <c r="AA12" s="15" t="str">
        <f t="shared" si="4"/>
        <v/>
      </c>
      <c r="AB12" s="5" t="str">
        <f t="shared" si="4"/>
        <v/>
      </c>
    </row>
    <row r="13" spans="2:30" s="30" customFormat="1" ht="15.75" x14ac:dyDescent="0.25">
      <c r="B13" s="36">
        <v>4</v>
      </c>
      <c r="C13" s="36">
        <v>6</v>
      </c>
      <c r="D13" s="36">
        <v>9</v>
      </c>
      <c r="E13" s="36"/>
      <c r="F13" s="12">
        <v>4</v>
      </c>
      <c r="G13" s="4">
        <f t="shared" ca="1" si="3"/>
        <v>4</v>
      </c>
      <c r="H13" s="19">
        <f t="shared" ca="1" si="0"/>
        <v>6</v>
      </c>
      <c r="I13" s="69">
        <f t="shared" ca="1" si="1"/>
        <v>9</v>
      </c>
      <c r="J13" s="92"/>
      <c r="K13" s="97"/>
      <c r="L13" s="76"/>
      <c r="M13" s="98"/>
      <c r="N13" s="32" t="str">
        <f t="shared" si="4"/>
        <v/>
      </c>
      <c r="O13" s="15" t="str">
        <f t="shared" si="4"/>
        <v/>
      </c>
      <c r="P13" s="15" t="str">
        <f t="shared" si="4"/>
        <v/>
      </c>
      <c r="Q13" s="15" t="str">
        <f t="shared" si="4"/>
        <v xml:space="preserve"> </v>
      </c>
      <c r="R13" s="15" t="str">
        <f t="shared" si="4"/>
        <v/>
      </c>
      <c r="S13" s="15" t="str">
        <f t="shared" si="4"/>
        <v xml:space="preserve"> </v>
      </c>
      <c r="T13" s="15" t="str">
        <f t="shared" si="4"/>
        <v/>
      </c>
      <c r="U13" s="15" t="str">
        <f t="shared" si="4"/>
        <v/>
      </c>
      <c r="V13" s="15" t="str">
        <f t="shared" si="4"/>
        <v xml:space="preserve"> </v>
      </c>
      <c r="W13" s="15" t="str">
        <f t="shared" si="4"/>
        <v/>
      </c>
      <c r="X13" s="15" t="str">
        <f t="shared" si="4"/>
        <v/>
      </c>
      <c r="Y13" s="15" t="str">
        <f t="shared" si="4"/>
        <v/>
      </c>
      <c r="Z13" s="15" t="str">
        <f t="shared" si="4"/>
        <v/>
      </c>
      <c r="AA13" s="15" t="str">
        <f t="shared" si="4"/>
        <v/>
      </c>
      <c r="AB13" s="5" t="str">
        <f t="shared" si="4"/>
        <v/>
      </c>
    </row>
    <row r="14" spans="2:30" s="30" customFormat="1" ht="15.75" x14ac:dyDescent="0.25">
      <c r="B14" s="36">
        <v>5</v>
      </c>
      <c r="C14" s="36">
        <v>7</v>
      </c>
      <c r="D14" s="36">
        <v>10</v>
      </c>
      <c r="E14" s="36"/>
      <c r="F14" s="12">
        <v>5</v>
      </c>
      <c r="G14" s="4">
        <f t="shared" ca="1" si="3"/>
        <v>5</v>
      </c>
      <c r="H14" s="19">
        <f t="shared" ca="1" si="0"/>
        <v>7</v>
      </c>
      <c r="I14" s="69">
        <f t="shared" ca="1" si="1"/>
        <v>13</v>
      </c>
      <c r="J14" s="92"/>
      <c r="K14" s="97"/>
      <c r="L14" s="76"/>
      <c r="M14" s="98"/>
      <c r="N14" s="32" t="str">
        <f t="shared" si="4"/>
        <v/>
      </c>
      <c r="O14" s="15" t="str">
        <f t="shared" si="4"/>
        <v/>
      </c>
      <c r="P14" s="15" t="str">
        <f t="shared" si="4"/>
        <v/>
      </c>
      <c r="Q14" s="15" t="str">
        <f t="shared" si="4"/>
        <v/>
      </c>
      <c r="R14" s="15" t="str">
        <f t="shared" si="4"/>
        <v xml:space="preserve"> </v>
      </c>
      <c r="S14" s="15" t="str">
        <f t="shared" si="4"/>
        <v/>
      </c>
      <c r="T14" s="15" t="str">
        <f t="shared" si="4"/>
        <v xml:space="preserve"> </v>
      </c>
      <c r="U14" s="15" t="str">
        <f t="shared" si="4"/>
        <v/>
      </c>
      <c r="V14" s="15" t="str">
        <f t="shared" si="4"/>
        <v/>
      </c>
      <c r="W14" s="15" t="str">
        <f t="shared" si="4"/>
        <v xml:space="preserve"> </v>
      </c>
      <c r="X14" s="15" t="str">
        <f t="shared" si="4"/>
        <v/>
      </c>
      <c r="Y14" s="15" t="str">
        <f t="shared" si="4"/>
        <v/>
      </c>
      <c r="Z14" s="15" t="str">
        <f t="shared" si="4"/>
        <v/>
      </c>
      <c r="AA14" s="15" t="str">
        <f t="shared" si="4"/>
        <v/>
      </c>
      <c r="AB14" s="5" t="str">
        <f t="shared" si="4"/>
        <v/>
      </c>
    </row>
    <row r="15" spans="2:30" s="30" customFormat="1" ht="15.75" x14ac:dyDescent="0.25">
      <c r="B15" s="36">
        <v>6</v>
      </c>
      <c r="C15" s="36">
        <v>8</v>
      </c>
      <c r="D15" s="36">
        <v>11</v>
      </c>
      <c r="E15" s="36"/>
      <c r="F15" s="12">
        <v>6</v>
      </c>
      <c r="G15" s="4">
        <f t="shared" ca="1" si="3"/>
        <v>6</v>
      </c>
      <c r="H15" s="19">
        <f t="shared" ca="1" si="0"/>
        <v>8</v>
      </c>
      <c r="I15" s="69">
        <f t="shared" ca="1" si="1"/>
        <v>14</v>
      </c>
      <c r="J15" s="92"/>
      <c r="K15" s="97"/>
      <c r="L15" s="76"/>
      <c r="M15" s="98"/>
      <c r="N15" s="32" t="str">
        <f t="shared" si="4"/>
        <v/>
      </c>
      <c r="O15" s="15" t="str">
        <f t="shared" si="4"/>
        <v/>
      </c>
      <c r="P15" s="15" t="str">
        <f t="shared" si="4"/>
        <v/>
      </c>
      <c r="Q15" s="15" t="str">
        <f t="shared" si="4"/>
        <v/>
      </c>
      <c r="R15" s="15" t="str">
        <f t="shared" si="4"/>
        <v/>
      </c>
      <c r="S15" s="15" t="str">
        <f t="shared" si="4"/>
        <v xml:space="preserve"> </v>
      </c>
      <c r="T15" s="15" t="str">
        <f t="shared" si="4"/>
        <v/>
      </c>
      <c r="U15" s="15" t="str">
        <f t="shared" si="4"/>
        <v xml:space="preserve"> </v>
      </c>
      <c r="V15" s="15" t="str">
        <f t="shared" si="4"/>
        <v/>
      </c>
      <c r="W15" s="15" t="str">
        <f t="shared" si="4"/>
        <v/>
      </c>
      <c r="X15" s="15" t="str">
        <f t="shared" si="4"/>
        <v xml:space="preserve"> </v>
      </c>
      <c r="Y15" s="15" t="str">
        <f t="shared" si="4"/>
        <v/>
      </c>
      <c r="Z15" s="15" t="str">
        <f t="shared" si="4"/>
        <v/>
      </c>
      <c r="AA15" s="15" t="str">
        <f t="shared" si="4"/>
        <v/>
      </c>
      <c r="AB15" s="5" t="str">
        <f t="shared" si="4"/>
        <v/>
      </c>
    </row>
    <row r="16" spans="2:30" s="30" customFormat="1" ht="15.75" x14ac:dyDescent="0.25">
      <c r="B16" s="36">
        <v>7</v>
      </c>
      <c r="C16" s="36">
        <v>9</v>
      </c>
      <c r="D16" s="36">
        <v>12</v>
      </c>
      <c r="E16" s="36"/>
      <c r="F16" s="12">
        <v>7</v>
      </c>
      <c r="G16" s="4">
        <f t="shared" ca="1" si="3"/>
        <v>7</v>
      </c>
      <c r="H16" s="19">
        <f t="shared" ca="1" si="0"/>
        <v>9</v>
      </c>
      <c r="I16" s="69">
        <f t="shared" ca="1" si="1"/>
        <v>23</v>
      </c>
      <c r="J16" s="92"/>
      <c r="K16" s="97"/>
      <c r="L16" s="76"/>
      <c r="M16" s="98"/>
      <c r="N16" s="32" t="str">
        <f t="shared" si="4"/>
        <v/>
      </c>
      <c r="O16" s="15" t="str">
        <f t="shared" si="4"/>
        <v/>
      </c>
      <c r="P16" s="15" t="str">
        <f t="shared" si="4"/>
        <v/>
      </c>
      <c r="Q16" s="15" t="str">
        <f t="shared" si="4"/>
        <v/>
      </c>
      <c r="R16" s="15" t="str">
        <f t="shared" si="4"/>
        <v/>
      </c>
      <c r="S16" s="15" t="str">
        <f t="shared" si="4"/>
        <v/>
      </c>
      <c r="T16" s="15" t="str">
        <f t="shared" si="4"/>
        <v xml:space="preserve"> </v>
      </c>
      <c r="U16" s="15" t="str">
        <f t="shared" si="4"/>
        <v/>
      </c>
      <c r="V16" s="15" t="str">
        <f t="shared" si="4"/>
        <v xml:space="preserve"> </v>
      </c>
      <c r="W16" s="15" t="str">
        <f t="shared" si="4"/>
        <v/>
      </c>
      <c r="X16" s="15" t="str">
        <f t="shared" si="4"/>
        <v/>
      </c>
      <c r="Y16" s="15" t="str">
        <f t="shared" si="4"/>
        <v xml:space="preserve"> </v>
      </c>
      <c r="Z16" s="15" t="str">
        <f t="shared" si="4"/>
        <v/>
      </c>
      <c r="AA16" s="15" t="str">
        <f t="shared" si="4"/>
        <v/>
      </c>
      <c r="AB16" s="5" t="str">
        <f t="shared" si="4"/>
        <v/>
      </c>
    </row>
    <row r="17" spans="2:28" s="30" customFormat="1" ht="15.75" x14ac:dyDescent="0.25">
      <c r="B17" s="36">
        <v>8</v>
      </c>
      <c r="C17" s="36">
        <v>10</v>
      </c>
      <c r="D17" s="36">
        <v>13</v>
      </c>
      <c r="E17" s="36"/>
      <c r="F17" s="12">
        <v>8</v>
      </c>
      <c r="G17" s="4">
        <f t="shared" ca="1" si="3"/>
        <v>8</v>
      </c>
      <c r="H17" s="19">
        <f t="shared" ca="1" si="0"/>
        <v>13</v>
      </c>
      <c r="I17" s="69">
        <f t="shared" ca="1" si="1"/>
        <v>30</v>
      </c>
      <c r="J17" s="92"/>
      <c r="K17" s="97"/>
      <c r="L17" s="76"/>
      <c r="M17" s="98"/>
      <c r="N17" s="32" t="str">
        <f t="shared" si="4"/>
        <v/>
      </c>
      <c r="O17" s="15" t="str">
        <f t="shared" si="4"/>
        <v/>
      </c>
      <c r="P17" s="15" t="str">
        <f t="shared" si="4"/>
        <v/>
      </c>
      <c r="Q17" s="15" t="str">
        <f t="shared" si="4"/>
        <v/>
      </c>
      <c r="R17" s="15" t="str">
        <f t="shared" si="4"/>
        <v/>
      </c>
      <c r="S17" s="15" t="str">
        <f t="shared" si="4"/>
        <v/>
      </c>
      <c r="T17" s="15" t="str">
        <f t="shared" si="4"/>
        <v/>
      </c>
      <c r="U17" s="15" t="str">
        <f t="shared" si="4"/>
        <v xml:space="preserve"> </v>
      </c>
      <c r="V17" s="15" t="str">
        <f t="shared" si="4"/>
        <v/>
      </c>
      <c r="W17" s="15" t="str">
        <f t="shared" si="4"/>
        <v xml:space="preserve"> </v>
      </c>
      <c r="X17" s="15" t="str">
        <f t="shared" si="4"/>
        <v/>
      </c>
      <c r="Y17" s="15" t="str">
        <f t="shared" si="4"/>
        <v/>
      </c>
      <c r="Z17" s="15" t="str">
        <f t="shared" si="4"/>
        <v xml:space="preserve"> </v>
      </c>
      <c r="AA17" s="15" t="str">
        <f t="shared" si="4"/>
        <v/>
      </c>
      <c r="AB17" s="5" t="str">
        <f t="shared" si="4"/>
        <v/>
      </c>
    </row>
    <row r="18" spans="2:28" s="30" customFormat="1" ht="15.75" x14ac:dyDescent="0.25">
      <c r="B18" s="36">
        <v>9</v>
      </c>
      <c r="C18" s="36">
        <v>11</v>
      </c>
      <c r="D18" s="36">
        <v>14</v>
      </c>
      <c r="E18" s="36"/>
      <c r="F18" s="12">
        <v>9</v>
      </c>
      <c r="G18" s="4">
        <f t="shared" ca="1" si="3"/>
        <v>9</v>
      </c>
      <c r="H18" s="19">
        <f t="shared" ca="1" si="0"/>
        <v>14</v>
      </c>
      <c r="I18" s="69">
        <f t="shared" ca="1" si="1"/>
        <v>37</v>
      </c>
      <c r="J18" s="92"/>
      <c r="K18" s="97"/>
      <c r="L18" s="76"/>
      <c r="M18" s="98"/>
      <c r="N18" s="32" t="str">
        <f t="shared" si="4"/>
        <v/>
      </c>
      <c r="O18" s="15" t="str">
        <f t="shared" si="4"/>
        <v/>
      </c>
      <c r="P18" s="15" t="str">
        <f t="shared" si="4"/>
        <v/>
      </c>
      <c r="Q18" s="15" t="str">
        <f t="shared" si="4"/>
        <v/>
      </c>
      <c r="R18" s="15" t="str">
        <f t="shared" si="4"/>
        <v/>
      </c>
      <c r="S18" s="15" t="str">
        <f t="shared" si="4"/>
        <v/>
      </c>
      <c r="T18" s="15" t="str">
        <f t="shared" si="4"/>
        <v/>
      </c>
      <c r="U18" s="15" t="str">
        <f t="shared" si="4"/>
        <v/>
      </c>
      <c r="V18" s="15" t="str">
        <f t="shared" si="4"/>
        <v xml:space="preserve"> </v>
      </c>
      <c r="W18" s="15" t="str">
        <f t="shared" si="4"/>
        <v/>
      </c>
      <c r="X18" s="15" t="str">
        <f t="shared" si="4"/>
        <v xml:space="preserve"> </v>
      </c>
      <c r="Y18" s="15" t="str">
        <f t="shared" si="4"/>
        <v/>
      </c>
      <c r="Z18" s="15" t="str">
        <f t="shared" si="4"/>
        <v/>
      </c>
      <c r="AA18" s="15" t="str">
        <f t="shared" si="4"/>
        <v xml:space="preserve"> </v>
      </c>
      <c r="AB18" s="5" t="str">
        <f t="shared" si="4"/>
        <v/>
      </c>
    </row>
    <row r="19" spans="2:28" s="30" customFormat="1" ht="15.75" x14ac:dyDescent="0.25">
      <c r="B19" s="36">
        <v>10</v>
      </c>
      <c r="C19" s="36">
        <v>12</v>
      </c>
      <c r="D19" s="36">
        <v>15</v>
      </c>
      <c r="E19" s="36"/>
      <c r="F19" s="12">
        <v>10</v>
      </c>
      <c r="G19" s="4">
        <f t="shared" ca="1" si="3"/>
        <v>13</v>
      </c>
      <c r="H19" s="19">
        <f t="shared" ca="1" si="0"/>
        <v>23</v>
      </c>
      <c r="I19" s="69">
        <f t="shared" ca="1" si="1"/>
        <v>49</v>
      </c>
      <c r="J19" s="92"/>
      <c r="K19" s="97"/>
      <c r="L19" s="76"/>
      <c r="M19" s="98"/>
      <c r="N19" s="32" t="str">
        <f t="shared" si="4"/>
        <v/>
      </c>
      <c r="O19" s="15" t="str">
        <f t="shared" si="4"/>
        <v/>
      </c>
      <c r="P19" s="15" t="str">
        <f t="shared" si="4"/>
        <v/>
      </c>
      <c r="Q19" s="15" t="str">
        <f t="shared" si="4"/>
        <v/>
      </c>
      <c r="R19" s="15" t="str">
        <f t="shared" si="4"/>
        <v/>
      </c>
      <c r="S19" s="15" t="str">
        <f t="shared" si="4"/>
        <v/>
      </c>
      <c r="T19" s="15" t="str">
        <f t="shared" si="4"/>
        <v/>
      </c>
      <c r="U19" s="15" t="str">
        <f t="shared" si="4"/>
        <v/>
      </c>
      <c r="V19" s="15" t="str">
        <f t="shared" si="4"/>
        <v/>
      </c>
      <c r="W19" s="15" t="str">
        <f t="shared" si="4"/>
        <v xml:space="preserve"> </v>
      </c>
      <c r="X19" s="15" t="str">
        <f t="shared" si="4"/>
        <v/>
      </c>
      <c r="Y19" s="15" t="str">
        <f t="shared" si="4"/>
        <v xml:space="preserve"> </v>
      </c>
      <c r="Z19" s="15" t="str">
        <f t="shared" si="4"/>
        <v/>
      </c>
      <c r="AA19" s="15" t="str">
        <f t="shared" si="4"/>
        <v/>
      </c>
      <c r="AB19" s="5" t="str">
        <f t="shared" si="4"/>
        <v xml:space="preserve"> </v>
      </c>
    </row>
    <row r="20" spans="2:28" s="30" customFormat="1" ht="15.75" x14ac:dyDescent="0.25">
      <c r="B20" s="36">
        <v>11</v>
      </c>
      <c r="C20" s="36">
        <v>13</v>
      </c>
      <c r="D20" s="36">
        <v>1</v>
      </c>
      <c r="E20" s="36"/>
      <c r="F20" s="12">
        <v>11</v>
      </c>
      <c r="G20" s="4">
        <f t="shared" ca="1" si="3"/>
        <v>14</v>
      </c>
      <c r="H20" s="19">
        <f t="shared" ca="1" si="0"/>
        <v>30</v>
      </c>
      <c r="I20" s="69">
        <f t="shared" ca="1" si="1"/>
        <v>1</v>
      </c>
      <c r="J20" s="92"/>
      <c r="K20" s="97"/>
      <c r="L20" s="76"/>
      <c r="M20" s="98"/>
      <c r="N20" s="32" t="str">
        <f t="shared" si="4"/>
        <v xml:space="preserve"> </v>
      </c>
      <c r="O20" s="15" t="str">
        <f t="shared" si="4"/>
        <v/>
      </c>
      <c r="P20" s="15" t="str">
        <f t="shared" si="4"/>
        <v/>
      </c>
      <c r="Q20" s="15" t="str">
        <f t="shared" si="4"/>
        <v/>
      </c>
      <c r="R20" s="15" t="str">
        <f t="shared" si="4"/>
        <v/>
      </c>
      <c r="S20" s="15" t="str">
        <f t="shared" si="4"/>
        <v/>
      </c>
      <c r="T20" s="15" t="str">
        <f t="shared" si="4"/>
        <v/>
      </c>
      <c r="U20" s="15" t="str">
        <f t="shared" si="4"/>
        <v/>
      </c>
      <c r="V20" s="15" t="str">
        <f t="shared" si="4"/>
        <v/>
      </c>
      <c r="W20" s="15" t="str">
        <f t="shared" si="4"/>
        <v/>
      </c>
      <c r="X20" s="15" t="str">
        <f t="shared" si="4"/>
        <v xml:space="preserve"> </v>
      </c>
      <c r="Y20" s="15" t="str">
        <f t="shared" si="4"/>
        <v/>
      </c>
      <c r="Z20" s="15" t="str">
        <f t="shared" si="4"/>
        <v xml:space="preserve"> </v>
      </c>
      <c r="AA20" s="15" t="str">
        <f t="shared" si="4"/>
        <v/>
      </c>
      <c r="AB20" s="5" t="str">
        <f t="shared" si="4"/>
        <v/>
      </c>
    </row>
    <row r="21" spans="2:28" s="30" customFormat="1" ht="15.75" x14ac:dyDescent="0.25">
      <c r="B21" s="36">
        <v>12</v>
      </c>
      <c r="C21" s="36">
        <v>14</v>
      </c>
      <c r="D21" s="36">
        <v>2</v>
      </c>
      <c r="E21" s="36"/>
      <c r="F21" s="12">
        <v>12</v>
      </c>
      <c r="G21" s="4">
        <f t="shared" ca="1" si="3"/>
        <v>23</v>
      </c>
      <c r="H21" s="19">
        <f t="shared" ca="1" si="0"/>
        <v>37</v>
      </c>
      <c r="I21" s="69">
        <f t="shared" ca="1" si="1"/>
        <v>2</v>
      </c>
      <c r="J21" s="92"/>
      <c r="K21" s="97"/>
      <c r="L21" s="76"/>
      <c r="M21" s="98"/>
      <c r="N21" s="32" t="str">
        <f t="shared" si="4"/>
        <v/>
      </c>
      <c r="O21" s="15" t="str">
        <f t="shared" si="4"/>
        <v xml:space="preserve"> </v>
      </c>
      <c r="P21" s="15" t="str">
        <f t="shared" si="4"/>
        <v/>
      </c>
      <c r="Q21" s="15" t="str">
        <f t="shared" si="4"/>
        <v/>
      </c>
      <c r="R21" s="15" t="str">
        <f t="shared" si="4"/>
        <v/>
      </c>
      <c r="S21" s="15" t="str">
        <f t="shared" si="4"/>
        <v/>
      </c>
      <c r="T21" s="15" t="str">
        <f t="shared" si="4"/>
        <v/>
      </c>
      <c r="U21" s="15" t="str">
        <f t="shared" si="4"/>
        <v/>
      </c>
      <c r="V21" s="15" t="str">
        <f t="shared" si="4"/>
        <v/>
      </c>
      <c r="W21" s="15" t="str">
        <f t="shared" si="4"/>
        <v/>
      </c>
      <c r="X21" s="15" t="str">
        <f t="shared" si="4"/>
        <v/>
      </c>
      <c r="Y21" s="15" t="str">
        <f t="shared" si="4"/>
        <v xml:space="preserve"> </v>
      </c>
      <c r="Z21" s="15" t="str">
        <f t="shared" si="4"/>
        <v/>
      </c>
      <c r="AA21" s="15" t="str">
        <f t="shared" si="4"/>
        <v xml:space="preserve"> </v>
      </c>
      <c r="AB21" s="5" t="str">
        <f t="shared" si="4"/>
        <v/>
      </c>
    </row>
    <row r="22" spans="2:28" s="30" customFormat="1" ht="15.75" x14ac:dyDescent="0.25">
      <c r="B22" s="36">
        <v>13</v>
      </c>
      <c r="C22" s="36">
        <v>15</v>
      </c>
      <c r="D22" s="36">
        <v>3</v>
      </c>
      <c r="E22" s="36"/>
      <c r="F22" s="12">
        <v>13</v>
      </c>
      <c r="G22" s="4">
        <f t="shared" ca="1" si="3"/>
        <v>30</v>
      </c>
      <c r="H22" s="19">
        <f t="shared" ca="1" si="0"/>
        <v>49</v>
      </c>
      <c r="I22" s="69">
        <f t="shared" ca="1" si="1"/>
        <v>3</v>
      </c>
      <c r="J22" s="92"/>
      <c r="K22" s="97"/>
      <c r="L22" s="76"/>
      <c r="M22" s="98"/>
      <c r="N22" s="32" t="str">
        <f t="shared" si="4"/>
        <v/>
      </c>
      <c r="O22" s="15" t="str">
        <f t="shared" si="4"/>
        <v/>
      </c>
      <c r="P22" s="15" t="str">
        <f t="shared" si="4"/>
        <v xml:space="preserve"> </v>
      </c>
      <c r="Q22" s="15" t="str">
        <f t="shared" si="4"/>
        <v/>
      </c>
      <c r="R22" s="15" t="str">
        <f t="shared" si="4"/>
        <v/>
      </c>
      <c r="S22" s="15" t="str">
        <f t="shared" si="4"/>
        <v/>
      </c>
      <c r="T22" s="15" t="str">
        <f t="shared" si="4"/>
        <v/>
      </c>
      <c r="U22" s="15" t="str">
        <f t="shared" si="4"/>
        <v/>
      </c>
      <c r="V22" s="15" t="str">
        <f t="shared" si="4"/>
        <v/>
      </c>
      <c r="W22" s="15" t="str">
        <f t="shared" si="4"/>
        <v/>
      </c>
      <c r="X22" s="15" t="str">
        <f t="shared" si="4"/>
        <v/>
      </c>
      <c r="Y22" s="15" t="str">
        <f t="shared" si="4"/>
        <v/>
      </c>
      <c r="Z22" s="15" t="str">
        <f t="shared" si="4"/>
        <v xml:space="preserve"> </v>
      </c>
      <c r="AA22" s="15" t="str">
        <f t="shared" si="4"/>
        <v/>
      </c>
      <c r="AB22" s="5" t="str">
        <f t="shared" si="4"/>
        <v xml:space="preserve"> </v>
      </c>
    </row>
    <row r="23" spans="2:28" s="30" customFormat="1" ht="15.75" x14ac:dyDescent="0.25">
      <c r="B23" s="36">
        <v>14</v>
      </c>
      <c r="C23" s="36">
        <v>1</v>
      </c>
      <c r="D23" s="36">
        <v>4</v>
      </c>
      <c r="E23" s="36"/>
      <c r="F23" s="12">
        <v>14</v>
      </c>
      <c r="G23" s="4">
        <f t="shared" ca="1" si="3"/>
        <v>37</v>
      </c>
      <c r="H23" s="19">
        <f t="shared" ca="1" si="0"/>
        <v>1</v>
      </c>
      <c r="I23" s="69">
        <f t="shared" ca="1" si="1"/>
        <v>4</v>
      </c>
      <c r="J23" s="92"/>
      <c r="K23" s="97"/>
      <c r="L23" s="76"/>
      <c r="M23" s="98"/>
      <c r="N23" s="32" t="str">
        <f t="shared" si="4"/>
        <v xml:space="preserve"> </v>
      </c>
      <c r="O23" s="15" t="str">
        <f t="shared" si="4"/>
        <v/>
      </c>
      <c r="P23" s="15" t="str">
        <f t="shared" si="4"/>
        <v/>
      </c>
      <c r="Q23" s="15" t="str">
        <f t="shared" si="4"/>
        <v xml:space="preserve"> </v>
      </c>
      <c r="R23" s="15" t="str">
        <f t="shared" si="4"/>
        <v/>
      </c>
      <c r="S23" s="15" t="str">
        <f t="shared" si="4"/>
        <v/>
      </c>
      <c r="T23" s="15" t="str">
        <f t="shared" si="4"/>
        <v/>
      </c>
      <c r="U23" s="15" t="str">
        <f t="shared" si="4"/>
        <v/>
      </c>
      <c r="V23" s="15" t="str">
        <f t="shared" si="4"/>
        <v/>
      </c>
      <c r="W23" s="15" t="str">
        <f t="shared" si="4"/>
        <v/>
      </c>
      <c r="X23" s="15" t="str">
        <f t="shared" si="4"/>
        <v/>
      </c>
      <c r="Y23" s="15" t="str">
        <f t="shared" si="4"/>
        <v/>
      </c>
      <c r="Z23" s="15" t="str">
        <f t="shared" si="4"/>
        <v/>
      </c>
      <c r="AA23" s="15" t="str">
        <f t="shared" si="4"/>
        <v xml:space="preserve"> </v>
      </c>
      <c r="AB23" s="5" t="str">
        <f t="shared" si="4"/>
        <v/>
      </c>
    </row>
    <row r="24" spans="2:28" s="30" customFormat="1" ht="16.5" thickBot="1" x14ac:dyDescent="0.3">
      <c r="B24" s="36">
        <v>15</v>
      </c>
      <c r="C24" s="36">
        <v>2</v>
      </c>
      <c r="D24" s="36">
        <v>5</v>
      </c>
      <c r="E24" s="36"/>
      <c r="F24" s="13">
        <v>15</v>
      </c>
      <c r="G24" s="6">
        <f t="shared" ca="1" si="3"/>
        <v>49</v>
      </c>
      <c r="H24" s="39">
        <f t="shared" ca="1" si="0"/>
        <v>2</v>
      </c>
      <c r="I24" s="40">
        <f t="shared" ca="1" si="1"/>
        <v>5</v>
      </c>
      <c r="J24" s="93"/>
      <c r="K24" s="99"/>
      <c r="L24" s="100"/>
      <c r="M24" s="101"/>
      <c r="N24" s="20" t="str">
        <f t="shared" si="4"/>
        <v/>
      </c>
      <c r="O24" s="16" t="str">
        <f t="shared" si="4"/>
        <v xml:space="preserve"> </v>
      </c>
      <c r="P24" s="16" t="str">
        <f t="shared" si="4"/>
        <v/>
      </c>
      <c r="Q24" s="16" t="str">
        <f t="shared" si="4"/>
        <v/>
      </c>
      <c r="R24" s="16" t="str">
        <f t="shared" si="4"/>
        <v xml:space="preserve"> </v>
      </c>
      <c r="S24" s="16" t="str">
        <f t="shared" si="4"/>
        <v/>
      </c>
      <c r="T24" s="16" t="str">
        <f t="shared" si="4"/>
        <v/>
      </c>
      <c r="U24" s="16" t="str">
        <f t="shared" si="4"/>
        <v/>
      </c>
      <c r="V24" s="16" t="str">
        <f t="shared" si="4"/>
        <v/>
      </c>
      <c r="W24" s="16" t="str">
        <f t="shared" si="4"/>
        <v/>
      </c>
      <c r="X24" s="16" t="str">
        <f t="shared" si="4"/>
        <v/>
      </c>
      <c r="Y24" s="16" t="str">
        <f t="shared" si="4"/>
        <v/>
      </c>
      <c r="Z24" s="16" t="str">
        <f t="shared" si="4"/>
        <v/>
      </c>
      <c r="AA24" s="16" t="str">
        <f t="shared" si="4"/>
        <v/>
      </c>
      <c r="AB24" s="43" t="str">
        <f t="shared" si="4"/>
        <v xml:space="preserve"> </v>
      </c>
    </row>
    <row r="25" spans="2:28" ht="15.75" x14ac:dyDescent="0.25">
      <c r="K25" s="151" t="s">
        <v>4</v>
      </c>
      <c r="L25" s="152"/>
      <c r="M25" s="153"/>
      <c r="N25" s="102" t="str">
        <f t="shared" ref="N25:AB25" si="5">IF(SUM(N10:N24)&lt;1," ",SUM(N10:N24))</f>
        <v xml:space="preserve"> </v>
      </c>
      <c r="O25" s="103" t="str">
        <f t="shared" si="5"/>
        <v xml:space="preserve"> </v>
      </c>
      <c r="P25" s="103" t="str">
        <f t="shared" si="5"/>
        <v xml:space="preserve"> </v>
      </c>
      <c r="Q25" s="103" t="str">
        <f t="shared" si="5"/>
        <v xml:space="preserve"> </v>
      </c>
      <c r="R25" s="103" t="str">
        <f t="shared" si="5"/>
        <v xml:space="preserve"> </v>
      </c>
      <c r="S25" s="103" t="str">
        <f t="shared" si="5"/>
        <v xml:space="preserve"> </v>
      </c>
      <c r="T25" s="103" t="str">
        <f t="shared" si="5"/>
        <v xml:space="preserve"> </v>
      </c>
      <c r="U25" s="103" t="str">
        <f t="shared" si="5"/>
        <v xml:space="preserve"> </v>
      </c>
      <c r="V25" s="103" t="str">
        <f t="shared" si="5"/>
        <v xml:space="preserve"> </v>
      </c>
      <c r="W25" s="103" t="str">
        <f t="shared" si="5"/>
        <v xml:space="preserve"> </v>
      </c>
      <c r="X25" s="103" t="str">
        <f t="shared" si="5"/>
        <v xml:space="preserve"> </v>
      </c>
      <c r="Y25" s="103" t="str">
        <f t="shared" si="5"/>
        <v xml:space="preserve"> </v>
      </c>
      <c r="Z25" s="103" t="str">
        <f t="shared" si="5"/>
        <v xml:space="preserve"> </v>
      </c>
      <c r="AA25" s="103" t="str">
        <f t="shared" si="5"/>
        <v xml:space="preserve"> </v>
      </c>
      <c r="AB25" s="104" t="str">
        <f t="shared" si="5"/>
        <v xml:space="preserve"> </v>
      </c>
    </row>
    <row r="26" spans="2:28" ht="16.5" thickBot="1" x14ac:dyDescent="0.3">
      <c r="K26" s="141" t="s">
        <v>5</v>
      </c>
      <c r="L26" s="142"/>
      <c r="M26" s="143"/>
      <c r="N26" s="120" t="e">
        <f>RANK(N25,$N25:$AL25,0)</f>
        <v>#VALUE!</v>
      </c>
      <c r="O26" s="121" t="e">
        <f t="shared" ref="O26:AB26" si="6">RANK(O25,$N25:$AL25,0)</f>
        <v>#VALUE!</v>
      </c>
      <c r="P26" s="121" t="e">
        <f t="shared" si="6"/>
        <v>#VALUE!</v>
      </c>
      <c r="Q26" s="121" t="e">
        <f t="shared" si="6"/>
        <v>#VALUE!</v>
      </c>
      <c r="R26" s="121" t="e">
        <f t="shared" si="6"/>
        <v>#VALUE!</v>
      </c>
      <c r="S26" s="121" t="e">
        <f t="shared" si="6"/>
        <v>#VALUE!</v>
      </c>
      <c r="T26" s="121" t="e">
        <f t="shared" si="6"/>
        <v>#VALUE!</v>
      </c>
      <c r="U26" s="121" t="e">
        <f t="shared" si="6"/>
        <v>#VALUE!</v>
      </c>
      <c r="V26" s="121" t="e">
        <f t="shared" si="6"/>
        <v>#VALUE!</v>
      </c>
      <c r="W26" s="121" t="e">
        <f t="shared" si="6"/>
        <v>#VALUE!</v>
      </c>
      <c r="X26" s="121" t="e">
        <f t="shared" si="6"/>
        <v>#VALUE!</v>
      </c>
      <c r="Y26" s="121" t="e">
        <f t="shared" si="6"/>
        <v>#VALUE!</v>
      </c>
      <c r="Z26" s="121" t="e">
        <f t="shared" si="6"/>
        <v>#VALUE!</v>
      </c>
      <c r="AA26" s="121" t="e">
        <f t="shared" si="6"/>
        <v>#VALUE!</v>
      </c>
      <c r="AB26" s="122" t="e">
        <f t="shared" si="6"/>
        <v>#VALUE!</v>
      </c>
    </row>
    <row r="27" spans="2:28" x14ac:dyDescent="0.2">
      <c r="N27" s="7"/>
      <c r="O27" s="7"/>
      <c r="P27" s="7"/>
      <c r="Q27" s="7"/>
    </row>
    <row r="28" spans="2:28" s="31" customFormat="1" ht="135.75" customHeight="1" x14ac:dyDescent="0.2">
      <c r="N28" s="8" t="str">
        <f>+Names!$B$2</f>
        <v>Luke</v>
      </c>
      <c r="O28" s="8" t="str">
        <f>+Names!$B$3</f>
        <v>Ro</v>
      </c>
      <c r="P28" s="8" t="str">
        <f>+Names!$B$4</f>
        <v>Caleb</v>
      </c>
      <c r="Q28" s="8" t="str">
        <f>+Names!$B$5</f>
        <v>Zau</v>
      </c>
      <c r="R28" s="8" t="str">
        <f>+Names!$B$6</f>
        <v>Brady</v>
      </c>
      <c r="S28" s="8" t="str">
        <f>+Names!$B$7</f>
        <v>Theo</v>
      </c>
      <c r="T28" s="8" t="str">
        <f>+Names!$B$8</f>
        <v>Jonathan</v>
      </c>
      <c r="U28" s="8" t="str">
        <f>+Names!$B$9</f>
        <v>Brenton</v>
      </c>
      <c r="V28" s="8" t="str">
        <f>+Names!$B$10</f>
        <v>Jospe</v>
      </c>
      <c r="W28" s="8" t="str">
        <f>+Names!$B$11</f>
        <v>Emery</v>
      </c>
      <c r="X28" s="8" t="str">
        <f>+Names!$B$12</f>
        <v>Isaac</v>
      </c>
      <c r="Y28" s="8" t="str">
        <f>+Names!$B$13</f>
        <v>Alain</v>
      </c>
      <c r="Z28" s="8" t="str">
        <f>+Names!$B$14</f>
        <v>Silas</v>
      </c>
      <c r="AA28" s="8" t="str">
        <f>+Names!$B$15</f>
        <v>De</v>
      </c>
      <c r="AB28" s="8">
        <f>+Names!$B$19</f>
        <v>0</v>
      </c>
    </row>
  </sheetData>
  <sheetProtection sheet="1" objects="1" scenarios="1" selectLockedCells="1"/>
  <mergeCells count="20">
    <mergeCell ref="K26:M26"/>
    <mergeCell ref="S3:U3"/>
    <mergeCell ref="S4:U4"/>
    <mergeCell ref="S5:U5"/>
    <mergeCell ref="M3:N3"/>
    <mergeCell ref="M4:N4"/>
    <mergeCell ref="M5:N5"/>
    <mergeCell ref="K8:M8"/>
    <mergeCell ref="K25:M25"/>
    <mergeCell ref="F1:AB1"/>
    <mergeCell ref="G8:I8"/>
    <mergeCell ref="M6:N6"/>
    <mergeCell ref="N8:AB8"/>
    <mergeCell ref="R2:U2"/>
    <mergeCell ref="M2:N2"/>
    <mergeCell ref="I2:L2"/>
    <mergeCell ref="F2:G2"/>
    <mergeCell ref="F3:G3"/>
    <mergeCell ref="F4:G4"/>
    <mergeCell ref="F5:G5"/>
  </mergeCells>
  <phoneticPr fontId="14" type="noConversion"/>
  <conditionalFormatting sqref="F10:F24">
    <cfRule type="expression" dxfId="299" priority="31" stopIfTrue="1">
      <formula>$H$2=F10</formula>
    </cfRule>
  </conditionalFormatting>
  <conditionalFormatting sqref="G10">
    <cfRule type="expression" dxfId="298" priority="13" stopIfTrue="1">
      <formula>$K$10=1</formula>
    </cfRule>
    <cfRule type="expression" dxfId="297" priority="14" stopIfTrue="1">
      <formula>$L$10=1</formula>
    </cfRule>
    <cfRule type="expression" dxfId="296" priority="15" stopIfTrue="1">
      <formula>$M$10=1</formula>
    </cfRule>
  </conditionalFormatting>
  <conditionalFormatting sqref="G11:G24">
    <cfRule type="expression" dxfId="295" priority="16" stopIfTrue="1">
      <formula>K11=1</formula>
    </cfRule>
    <cfRule type="expression" dxfId="294" priority="17" stopIfTrue="1">
      <formula>L11=1</formula>
    </cfRule>
    <cfRule type="expression" dxfId="293" priority="18" stopIfTrue="1">
      <formula>M11=1</formula>
    </cfRule>
  </conditionalFormatting>
  <conditionalFormatting sqref="H10:H24">
    <cfRule type="expression" dxfId="292" priority="19" stopIfTrue="1">
      <formula>K10=2</formula>
    </cfRule>
    <cfRule type="expression" dxfId="291" priority="20" stopIfTrue="1">
      <formula>L10=2</formula>
    </cfRule>
    <cfRule type="expression" dxfId="290" priority="21" stopIfTrue="1">
      <formula>M10=2</formula>
    </cfRule>
  </conditionalFormatting>
  <conditionalFormatting sqref="I10:I24">
    <cfRule type="expression" dxfId="289" priority="22" stopIfTrue="1">
      <formula>K10=3</formula>
    </cfRule>
    <cfRule type="expression" dxfId="288" priority="23" stopIfTrue="1">
      <formula>L10=3</formula>
    </cfRule>
    <cfRule type="expression" dxfId="287" priority="24" stopIfTrue="1">
      <formula>M10=3</formula>
    </cfRule>
  </conditionalFormatting>
  <conditionalFormatting sqref="I3:N6">
    <cfRule type="expression" dxfId="286" priority="28" stopIfTrue="1">
      <formula>$M3="1st"</formula>
    </cfRule>
    <cfRule type="expression" dxfId="285" priority="29" stopIfTrue="1">
      <formula>$M3="2nd"</formula>
    </cfRule>
    <cfRule type="expression" dxfId="284" priority="30" stopIfTrue="1">
      <formula>$M3="3rd"</formula>
    </cfRule>
  </conditionalFormatting>
  <conditionalFormatting sqref="J10:J24">
    <cfRule type="expression" dxfId="283" priority="25" stopIfTrue="1">
      <formula>K10=4</formula>
    </cfRule>
    <cfRule type="expression" dxfId="282" priority="26" stopIfTrue="1">
      <formula>L10=4</formula>
    </cfRule>
    <cfRule type="expression" dxfId="281" priority="27" stopIfTrue="1">
      <formula>M10=4</formula>
    </cfRule>
  </conditionalFormatting>
  <conditionalFormatting sqref="N10:AB24">
    <cfRule type="cellIs" dxfId="280" priority="10" stopIfTrue="1" operator="equal">
      <formula>3</formula>
    </cfRule>
    <cfRule type="cellIs" dxfId="279" priority="11" stopIfTrue="1" operator="equal">
      <formula>2</formula>
    </cfRule>
    <cfRule type="cellIs" dxfId="278" priority="12" stopIfTrue="1" operator="equal">
      <formula>1</formula>
    </cfRule>
  </conditionalFormatting>
  <conditionalFormatting sqref="N26:AB26">
    <cfRule type="cellIs" dxfId="277" priority="1" operator="equal">
      <formula>3</formula>
    </cfRule>
    <cfRule type="cellIs" dxfId="276" priority="2" operator="equal">
      <formula>2</formula>
    </cfRule>
    <cfRule type="cellIs" dxfId="275" priority="3" operator="equal">
      <formula>1</formula>
    </cfRule>
  </conditionalFormatting>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11"/>
  <dimension ref="B1:AC27"/>
  <sheetViews>
    <sheetView showGridLines="0" zoomScaleNormal="100" workbookViewId="0">
      <selection activeCell="K10" sqref="K10"/>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9" width="4.7109375" customWidth="1"/>
    <col min="30" max="30" width="5.140625" customWidth="1"/>
    <col min="31" max="31" width="5.28515625" customWidth="1"/>
  </cols>
  <sheetData>
    <row r="1" spans="2:29"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132"/>
      <c r="AB1" s="25"/>
      <c r="AC1" s="25"/>
    </row>
    <row r="2" spans="2:29" s="29" customFormat="1" ht="22.5" x14ac:dyDescent="0.45">
      <c r="F2" s="133" t="s">
        <v>2</v>
      </c>
      <c r="G2" s="134"/>
      <c r="H2" s="21">
        <v>1</v>
      </c>
      <c r="I2" s="135" t="str">
        <f>+Names!$C$1</f>
        <v>Driver</v>
      </c>
      <c r="J2" s="136"/>
      <c r="K2" s="136"/>
      <c r="L2" s="137"/>
      <c r="M2" s="130" t="s">
        <v>8</v>
      </c>
      <c r="N2" s="130"/>
      <c r="R2" s="138" t="s">
        <v>12</v>
      </c>
      <c r="S2" s="139"/>
      <c r="T2" s="139"/>
      <c r="U2" s="140"/>
    </row>
    <row r="3" spans="2:29"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9"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9"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9" s="29" customFormat="1" ht="18.75" hidden="1" x14ac:dyDescent="0.3">
      <c r="E6" s="17"/>
      <c r="F6" s="128"/>
      <c r="G6" s="129"/>
      <c r="H6" s="3"/>
      <c r="I6" s="84"/>
      <c r="J6" s="85"/>
      <c r="K6" s="85"/>
      <c r="L6" s="86"/>
      <c r="M6" s="130"/>
      <c r="N6" s="130"/>
      <c r="R6"/>
      <c r="S6" s="26"/>
      <c r="T6" s="26"/>
      <c r="U6" s="26"/>
    </row>
    <row r="7" spans="2:29" ht="13.5" thickBot="1" x14ac:dyDescent="0.25">
      <c r="E7" s="28"/>
    </row>
    <row r="8" spans="2:29" s="30" customFormat="1" ht="16.5" thickBot="1" x14ac:dyDescent="0.25">
      <c r="G8" s="144" t="s">
        <v>3</v>
      </c>
      <c r="H8" s="145"/>
      <c r="I8" s="145"/>
      <c r="J8" s="83"/>
      <c r="K8" s="154" t="s">
        <v>34</v>
      </c>
      <c r="L8" s="147"/>
      <c r="M8" s="148"/>
      <c r="N8" s="154" t="s">
        <v>13</v>
      </c>
      <c r="O8" s="147"/>
      <c r="P8" s="147"/>
      <c r="Q8" s="147"/>
      <c r="R8" s="147"/>
      <c r="S8" s="147"/>
      <c r="T8" s="147"/>
      <c r="U8" s="147"/>
      <c r="V8" s="147"/>
      <c r="W8" s="147"/>
      <c r="X8" s="147"/>
      <c r="Y8" s="147"/>
      <c r="Z8" s="147"/>
      <c r="AA8" s="148"/>
    </row>
    <row r="9" spans="2:29" s="30" customFormat="1" ht="16.5" thickBot="1" x14ac:dyDescent="0.3">
      <c r="F9" s="14" t="s">
        <v>2</v>
      </c>
      <c r="G9" s="66" t="s">
        <v>0</v>
      </c>
      <c r="H9" s="67" t="s">
        <v>1</v>
      </c>
      <c r="I9" s="67" t="s">
        <v>6</v>
      </c>
      <c r="J9" s="71" t="s">
        <v>30</v>
      </c>
      <c r="K9" s="61" t="s">
        <v>31</v>
      </c>
      <c r="L9" s="62" t="s">
        <v>32</v>
      </c>
      <c r="M9" s="70" t="s">
        <v>33</v>
      </c>
      <c r="N9" s="54">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7">
        <f>+Names!$A$14</f>
        <v>30</v>
      </c>
      <c r="AA9" s="58">
        <f>+Names!$A$15</f>
        <v>37</v>
      </c>
    </row>
    <row r="10" spans="2:29" s="30" customFormat="1" ht="15.75" x14ac:dyDescent="0.25">
      <c r="B10" s="36">
        <v>1</v>
      </c>
      <c r="C10" s="36">
        <v>3</v>
      </c>
      <c r="D10" s="36">
        <v>6</v>
      </c>
      <c r="E10" s="36"/>
      <c r="F10" s="72">
        <v>1</v>
      </c>
      <c r="G10" s="37">
        <f t="shared" ref="G10:G23" ca="1" si="0">INDIRECT(ADDRESS(B10+1,1,,,"Names"))</f>
        <v>1</v>
      </c>
      <c r="H10" s="18">
        <f t="shared" ref="H10:H23" ca="1" si="1">INDIRECT(ADDRESS(C10+1,1,,,"Names"))</f>
        <v>3</v>
      </c>
      <c r="I10" s="38">
        <f t="shared" ref="I10:I23" ca="1" si="2">INDIRECT(ADDRESS(D10+1,1,,,"Names"))</f>
        <v>6</v>
      </c>
      <c r="J10" s="91"/>
      <c r="K10" s="49"/>
      <c r="L10" s="81"/>
      <c r="M10" s="77"/>
      <c r="N10" s="51" t="str">
        <f t="shared" ref="N10:N23" si="3">IF(ISNA(MATCH(COLUMN()-13,$B10:$E10,0)),"",IF($K10=MATCH(COLUMN()-13,$B10:$E10,0),3,IF($L10=MATCH(COLUMN()-13,$B10:$E10,0),2,IF($M10=MATCH(COLUMN()-13,$B10:$E10,0),1,""))))</f>
        <v/>
      </c>
      <c r="O10" s="52" t="str">
        <f t="shared" ref="O10:AA23" si="4">IF(ISNA(MATCH(COLUMN()-13,$B10:$E10,0)),"",IF($K10=MATCH(COLUMN()-13,$B10:$E10,0),3,IF($L10=MATCH(COLUMN()-13,$B10:$E10,0),2,IF($M10=MATCH(COLUMN()-13,$B10:$E10,0),1,""))))</f>
        <v/>
      </c>
      <c r="P10" s="52" t="str">
        <f t="shared" si="4"/>
        <v/>
      </c>
      <c r="Q10" s="52" t="str">
        <f t="shared" si="4"/>
        <v/>
      </c>
      <c r="R10" s="52" t="str">
        <f t="shared" si="4"/>
        <v/>
      </c>
      <c r="S10" s="52" t="str">
        <f t="shared" si="4"/>
        <v/>
      </c>
      <c r="T10" s="52" t="str">
        <f t="shared" si="4"/>
        <v/>
      </c>
      <c r="U10" s="52" t="str">
        <f t="shared" si="4"/>
        <v/>
      </c>
      <c r="V10" s="52" t="str">
        <f t="shared" si="4"/>
        <v/>
      </c>
      <c r="W10" s="52" t="str">
        <f t="shared" si="4"/>
        <v/>
      </c>
      <c r="X10" s="52" t="str">
        <f t="shared" si="4"/>
        <v/>
      </c>
      <c r="Y10" s="52" t="str">
        <f t="shared" si="4"/>
        <v/>
      </c>
      <c r="Z10" s="52" t="str">
        <f t="shared" si="4"/>
        <v/>
      </c>
      <c r="AA10" s="53" t="str">
        <f t="shared" si="4"/>
        <v/>
      </c>
    </row>
    <row r="11" spans="2:29" s="30" customFormat="1" ht="15.75" x14ac:dyDescent="0.25">
      <c r="B11" s="36">
        <v>2</v>
      </c>
      <c r="C11" s="36">
        <v>4</v>
      </c>
      <c r="D11" s="36">
        <v>7</v>
      </c>
      <c r="E11" s="36"/>
      <c r="F11" s="73">
        <v>2</v>
      </c>
      <c r="G11" s="4">
        <f t="shared" ca="1" si="0"/>
        <v>2</v>
      </c>
      <c r="H11" s="19">
        <f t="shared" ca="1" si="1"/>
        <v>4</v>
      </c>
      <c r="I11" s="69">
        <f t="shared" ca="1" si="2"/>
        <v>7</v>
      </c>
      <c r="J11" s="92"/>
      <c r="K11" s="97"/>
      <c r="L11" s="76"/>
      <c r="M11" s="98"/>
      <c r="N11" s="32" t="str">
        <f t="shared" si="3"/>
        <v/>
      </c>
      <c r="O11" s="15" t="str">
        <f t="shared" si="4"/>
        <v/>
      </c>
      <c r="P11" s="15" t="str">
        <f t="shared" si="4"/>
        <v/>
      </c>
      <c r="Q11" s="15" t="str">
        <f t="shared" si="4"/>
        <v/>
      </c>
      <c r="R11" s="15" t="str">
        <f t="shared" si="4"/>
        <v/>
      </c>
      <c r="S11" s="15" t="str">
        <f t="shared" si="4"/>
        <v/>
      </c>
      <c r="T11" s="15" t="str">
        <f t="shared" si="4"/>
        <v/>
      </c>
      <c r="U11" s="15" t="str">
        <f t="shared" si="4"/>
        <v/>
      </c>
      <c r="V11" s="15" t="str">
        <f t="shared" si="4"/>
        <v/>
      </c>
      <c r="W11" s="15" t="str">
        <f t="shared" si="4"/>
        <v/>
      </c>
      <c r="X11" s="15" t="str">
        <f t="shared" si="4"/>
        <v/>
      </c>
      <c r="Y11" s="15" t="str">
        <f t="shared" si="4"/>
        <v/>
      </c>
      <c r="Z11" s="15" t="str">
        <f t="shared" si="4"/>
        <v/>
      </c>
      <c r="AA11" s="5" t="str">
        <f t="shared" si="4"/>
        <v/>
      </c>
    </row>
    <row r="12" spans="2:29" s="30" customFormat="1" ht="15.75" x14ac:dyDescent="0.25">
      <c r="B12" s="36">
        <v>3</v>
      </c>
      <c r="C12" s="36">
        <v>5</v>
      </c>
      <c r="D12" s="36">
        <v>8</v>
      </c>
      <c r="E12" s="36"/>
      <c r="F12" s="73">
        <v>3</v>
      </c>
      <c r="G12" s="4">
        <f t="shared" ca="1" si="0"/>
        <v>3</v>
      </c>
      <c r="H12" s="19">
        <f t="shared" ca="1" si="1"/>
        <v>5</v>
      </c>
      <c r="I12" s="69">
        <f t="shared" ca="1" si="2"/>
        <v>8</v>
      </c>
      <c r="J12" s="92"/>
      <c r="K12" s="97"/>
      <c r="L12" s="76"/>
      <c r="M12" s="98"/>
      <c r="N12" s="32" t="str">
        <f t="shared" si="3"/>
        <v/>
      </c>
      <c r="O12" s="15" t="str">
        <f t="shared" si="4"/>
        <v/>
      </c>
      <c r="P12" s="15" t="str">
        <f t="shared" si="4"/>
        <v/>
      </c>
      <c r="Q12" s="15" t="str">
        <f t="shared" si="4"/>
        <v/>
      </c>
      <c r="R12" s="15" t="str">
        <f t="shared" si="4"/>
        <v/>
      </c>
      <c r="S12" s="15" t="str">
        <f t="shared" si="4"/>
        <v/>
      </c>
      <c r="T12" s="15" t="str">
        <f t="shared" si="4"/>
        <v/>
      </c>
      <c r="U12" s="15" t="str">
        <f t="shared" si="4"/>
        <v/>
      </c>
      <c r="V12" s="15" t="str">
        <f t="shared" si="4"/>
        <v/>
      </c>
      <c r="W12" s="15" t="str">
        <f t="shared" si="4"/>
        <v/>
      </c>
      <c r="X12" s="15" t="str">
        <f t="shared" si="4"/>
        <v/>
      </c>
      <c r="Y12" s="15" t="str">
        <f t="shared" si="4"/>
        <v/>
      </c>
      <c r="Z12" s="15" t="str">
        <f t="shared" si="4"/>
        <v/>
      </c>
      <c r="AA12" s="5" t="str">
        <f t="shared" si="4"/>
        <v/>
      </c>
    </row>
    <row r="13" spans="2:29" s="30" customFormat="1" ht="15.75" x14ac:dyDescent="0.25">
      <c r="B13" s="36">
        <v>4</v>
      </c>
      <c r="C13" s="36">
        <v>6</v>
      </c>
      <c r="D13" s="36">
        <v>9</v>
      </c>
      <c r="E13" s="36"/>
      <c r="F13" s="73">
        <v>4</v>
      </c>
      <c r="G13" s="4">
        <f t="shared" ca="1" si="0"/>
        <v>4</v>
      </c>
      <c r="H13" s="19">
        <f t="shared" ca="1" si="1"/>
        <v>6</v>
      </c>
      <c r="I13" s="69">
        <f t="shared" ca="1" si="2"/>
        <v>9</v>
      </c>
      <c r="J13" s="92"/>
      <c r="K13" s="97"/>
      <c r="L13" s="76"/>
      <c r="M13" s="98"/>
      <c r="N13" s="32" t="str">
        <f t="shared" si="3"/>
        <v/>
      </c>
      <c r="O13" s="15" t="str">
        <f t="shared" si="4"/>
        <v/>
      </c>
      <c r="P13" s="15" t="str">
        <f t="shared" si="4"/>
        <v/>
      </c>
      <c r="Q13" s="15" t="str">
        <f t="shared" si="4"/>
        <v/>
      </c>
      <c r="R13" s="15" t="str">
        <f t="shared" si="4"/>
        <v/>
      </c>
      <c r="S13" s="15" t="str">
        <f t="shared" si="4"/>
        <v/>
      </c>
      <c r="T13" s="15" t="str">
        <f t="shared" si="4"/>
        <v/>
      </c>
      <c r="U13" s="15" t="str">
        <f t="shared" si="4"/>
        <v/>
      </c>
      <c r="V13" s="15" t="str">
        <f t="shared" si="4"/>
        <v/>
      </c>
      <c r="W13" s="15" t="str">
        <f t="shared" si="4"/>
        <v/>
      </c>
      <c r="X13" s="15" t="str">
        <f t="shared" si="4"/>
        <v/>
      </c>
      <c r="Y13" s="15" t="str">
        <f t="shared" si="4"/>
        <v/>
      </c>
      <c r="Z13" s="15" t="str">
        <f t="shared" si="4"/>
        <v/>
      </c>
      <c r="AA13" s="5" t="str">
        <f t="shared" si="4"/>
        <v/>
      </c>
    </row>
    <row r="14" spans="2:29" s="30" customFormat="1" ht="15.75" x14ac:dyDescent="0.25">
      <c r="B14" s="36">
        <v>5</v>
      </c>
      <c r="C14" s="36">
        <v>7</v>
      </c>
      <c r="D14" s="36">
        <v>10</v>
      </c>
      <c r="E14" s="36"/>
      <c r="F14" s="73">
        <v>5</v>
      </c>
      <c r="G14" s="4">
        <f t="shared" ca="1" si="0"/>
        <v>5</v>
      </c>
      <c r="H14" s="19">
        <f t="shared" ca="1" si="1"/>
        <v>7</v>
      </c>
      <c r="I14" s="69">
        <f t="shared" ca="1" si="2"/>
        <v>13</v>
      </c>
      <c r="J14" s="92"/>
      <c r="K14" s="97"/>
      <c r="L14" s="76"/>
      <c r="M14" s="98"/>
      <c r="N14" s="32" t="str">
        <f t="shared" si="3"/>
        <v/>
      </c>
      <c r="O14" s="15" t="str">
        <f t="shared" si="4"/>
        <v/>
      </c>
      <c r="P14" s="15" t="str">
        <f t="shared" si="4"/>
        <v/>
      </c>
      <c r="Q14" s="15" t="str">
        <f t="shared" si="4"/>
        <v/>
      </c>
      <c r="R14" s="15" t="str">
        <f t="shared" si="4"/>
        <v/>
      </c>
      <c r="S14" s="15" t="str">
        <f t="shared" si="4"/>
        <v/>
      </c>
      <c r="T14" s="15" t="str">
        <f t="shared" si="4"/>
        <v/>
      </c>
      <c r="U14" s="15" t="str">
        <f t="shared" si="4"/>
        <v/>
      </c>
      <c r="V14" s="15" t="str">
        <f t="shared" si="4"/>
        <v/>
      </c>
      <c r="W14" s="15" t="str">
        <f t="shared" si="4"/>
        <v/>
      </c>
      <c r="X14" s="15" t="str">
        <f t="shared" si="4"/>
        <v/>
      </c>
      <c r="Y14" s="15" t="str">
        <f t="shared" si="4"/>
        <v/>
      </c>
      <c r="Z14" s="15" t="str">
        <f t="shared" si="4"/>
        <v/>
      </c>
      <c r="AA14" s="5" t="str">
        <f t="shared" si="4"/>
        <v/>
      </c>
    </row>
    <row r="15" spans="2:29" s="30" customFormat="1" ht="15.75" x14ac:dyDescent="0.25">
      <c r="B15" s="36">
        <v>6</v>
      </c>
      <c r="C15" s="36">
        <v>8</v>
      </c>
      <c r="D15" s="36">
        <v>11</v>
      </c>
      <c r="E15" s="36"/>
      <c r="F15" s="73">
        <v>6</v>
      </c>
      <c r="G15" s="4">
        <f t="shared" ca="1" si="0"/>
        <v>6</v>
      </c>
      <c r="H15" s="19">
        <f t="shared" ca="1" si="1"/>
        <v>8</v>
      </c>
      <c r="I15" s="69">
        <f t="shared" ca="1" si="2"/>
        <v>14</v>
      </c>
      <c r="J15" s="92"/>
      <c r="K15" s="97"/>
      <c r="L15" s="76"/>
      <c r="M15" s="98"/>
      <c r="N15" s="32" t="str">
        <f t="shared" si="3"/>
        <v/>
      </c>
      <c r="O15" s="15" t="str">
        <f t="shared" si="4"/>
        <v/>
      </c>
      <c r="P15" s="15" t="str">
        <f t="shared" si="4"/>
        <v/>
      </c>
      <c r="Q15" s="15" t="str">
        <f t="shared" si="4"/>
        <v/>
      </c>
      <c r="R15" s="15" t="str">
        <f t="shared" si="4"/>
        <v/>
      </c>
      <c r="S15" s="15" t="str">
        <f t="shared" si="4"/>
        <v/>
      </c>
      <c r="T15" s="15" t="str">
        <f t="shared" si="4"/>
        <v/>
      </c>
      <c r="U15" s="15" t="str">
        <f t="shared" si="4"/>
        <v/>
      </c>
      <c r="V15" s="15" t="str">
        <f t="shared" si="4"/>
        <v/>
      </c>
      <c r="W15" s="15" t="str">
        <f t="shared" si="4"/>
        <v/>
      </c>
      <c r="X15" s="15" t="str">
        <f t="shared" si="4"/>
        <v/>
      </c>
      <c r="Y15" s="15" t="str">
        <f t="shared" si="4"/>
        <v/>
      </c>
      <c r="Z15" s="15" t="str">
        <f t="shared" si="4"/>
        <v/>
      </c>
      <c r="AA15" s="5" t="str">
        <f t="shared" si="4"/>
        <v/>
      </c>
    </row>
    <row r="16" spans="2:29" s="30" customFormat="1" ht="15.75" x14ac:dyDescent="0.25">
      <c r="B16" s="36">
        <v>7</v>
      </c>
      <c r="C16" s="36">
        <v>9</v>
      </c>
      <c r="D16" s="36">
        <v>12</v>
      </c>
      <c r="E16" s="36"/>
      <c r="F16" s="73">
        <v>7</v>
      </c>
      <c r="G16" s="4">
        <f t="shared" ca="1" si="0"/>
        <v>7</v>
      </c>
      <c r="H16" s="19">
        <f t="shared" ca="1" si="1"/>
        <v>9</v>
      </c>
      <c r="I16" s="69">
        <f t="shared" ca="1" si="2"/>
        <v>23</v>
      </c>
      <c r="J16" s="92"/>
      <c r="K16" s="97"/>
      <c r="L16" s="76"/>
      <c r="M16" s="98"/>
      <c r="N16" s="32" t="str">
        <f t="shared" si="3"/>
        <v/>
      </c>
      <c r="O16" s="15" t="str">
        <f t="shared" si="4"/>
        <v/>
      </c>
      <c r="P16" s="15" t="str">
        <f t="shared" si="4"/>
        <v/>
      </c>
      <c r="Q16" s="15" t="str">
        <f t="shared" si="4"/>
        <v/>
      </c>
      <c r="R16" s="15" t="str">
        <f t="shared" si="4"/>
        <v/>
      </c>
      <c r="S16" s="15" t="str">
        <f t="shared" si="4"/>
        <v/>
      </c>
      <c r="T16" s="15" t="str">
        <f t="shared" si="4"/>
        <v/>
      </c>
      <c r="U16" s="15" t="str">
        <f t="shared" si="4"/>
        <v/>
      </c>
      <c r="V16" s="15" t="str">
        <f t="shared" si="4"/>
        <v/>
      </c>
      <c r="W16" s="15" t="str">
        <f t="shared" si="4"/>
        <v/>
      </c>
      <c r="X16" s="15" t="str">
        <f t="shared" si="4"/>
        <v/>
      </c>
      <c r="Y16" s="15" t="str">
        <f t="shared" si="4"/>
        <v/>
      </c>
      <c r="Z16" s="15" t="str">
        <f t="shared" si="4"/>
        <v/>
      </c>
      <c r="AA16" s="5" t="str">
        <f t="shared" si="4"/>
        <v/>
      </c>
    </row>
    <row r="17" spans="2:27" s="30" customFormat="1" ht="15.75" x14ac:dyDescent="0.25">
      <c r="B17" s="36">
        <v>8</v>
      </c>
      <c r="C17" s="36">
        <v>10</v>
      </c>
      <c r="D17" s="36">
        <v>13</v>
      </c>
      <c r="E17" s="36"/>
      <c r="F17" s="73">
        <v>8</v>
      </c>
      <c r="G17" s="4">
        <f t="shared" ca="1" si="0"/>
        <v>8</v>
      </c>
      <c r="H17" s="19">
        <f t="shared" ca="1" si="1"/>
        <v>13</v>
      </c>
      <c r="I17" s="69">
        <f t="shared" ca="1" si="2"/>
        <v>30</v>
      </c>
      <c r="J17" s="92"/>
      <c r="K17" s="97"/>
      <c r="L17" s="76"/>
      <c r="M17" s="98"/>
      <c r="N17" s="32" t="str">
        <f t="shared" si="3"/>
        <v/>
      </c>
      <c r="O17" s="15" t="str">
        <f t="shared" si="4"/>
        <v/>
      </c>
      <c r="P17" s="15" t="str">
        <f t="shared" si="4"/>
        <v/>
      </c>
      <c r="Q17" s="15" t="str">
        <f t="shared" si="4"/>
        <v/>
      </c>
      <c r="R17" s="15" t="str">
        <f t="shared" si="4"/>
        <v/>
      </c>
      <c r="S17" s="15" t="str">
        <f t="shared" si="4"/>
        <v/>
      </c>
      <c r="T17" s="15" t="str">
        <f t="shared" si="4"/>
        <v/>
      </c>
      <c r="U17" s="15" t="str">
        <f t="shared" si="4"/>
        <v/>
      </c>
      <c r="V17" s="15" t="str">
        <f t="shared" si="4"/>
        <v/>
      </c>
      <c r="W17" s="15" t="str">
        <f t="shared" si="4"/>
        <v/>
      </c>
      <c r="X17" s="15" t="str">
        <f t="shared" si="4"/>
        <v/>
      </c>
      <c r="Y17" s="15" t="str">
        <f t="shared" si="4"/>
        <v/>
      </c>
      <c r="Z17" s="15" t="str">
        <f t="shared" si="4"/>
        <v/>
      </c>
      <c r="AA17" s="5" t="str">
        <f t="shared" si="4"/>
        <v/>
      </c>
    </row>
    <row r="18" spans="2:27" s="30" customFormat="1" ht="15.75" x14ac:dyDescent="0.25">
      <c r="B18" s="36">
        <v>9</v>
      </c>
      <c r="C18" s="36">
        <v>11</v>
      </c>
      <c r="D18" s="36">
        <v>14</v>
      </c>
      <c r="E18" s="36"/>
      <c r="F18" s="73">
        <v>9</v>
      </c>
      <c r="G18" s="4">
        <f t="shared" ca="1" si="0"/>
        <v>9</v>
      </c>
      <c r="H18" s="19">
        <f t="shared" ca="1" si="1"/>
        <v>14</v>
      </c>
      <c r="I18" s="69">
        <f t="shared" ca="1" si="2"/>
        <v>37</v>
      </c>
      <c r="J18" s="92"/>
      <c r="K18" s="97"/>
      <c r="L18" s="76"/>
      <c r="M18" s="98"/>
      <c r="N18" s="32" t="str">
        <f t="shared" si="3"/>
        <v/>
      </c>
      <c r="O18" s="15" t="str">
        <f t="shared" si="4"/>
        <v/>
      </c>
      <c r="P18" s="15" t="str">
        <f t="shared" si="4"/>
        <v/>
      </c>
      <c r="Q18" s="15" t="str">
        <f t="shared" si="4"/>
        <v/>
      </c>
      <c r="R18" s="15" t="str">
        <f t="shared" si="4"/>
        <v/>
      </c>
      <c r="S18" s="15" t="str">
        <f t="shared" si="4"/>
        <v/>
      </c>
      <c r="T18" s="15" t="str">
        <f t="shared" si="4"/>
        <v/>
      </c>
      <c r="U18" s="15" t="str">
        <f t="shared" si="4"/>
        <v/>
      </c>
      <c r="V18" s="15" t="str">
        <f t="shared" si="4"/>
        <v/>
      </c>
      <c r="W18" s="15" t="str">
        <f t="shared" ref="O18:AA22" si="5">IF(ISNA(MATCH(COLUMN()-13,$B18:$E18,0)),"",IF($K18=MATCH(COLUMN()-13,$B18:$E18,0),3,IF($L18=MATCH(COLUMN()-13,$B18:$E18,0),2,IF($M18=MATCH(COLUMN()-13,$B18:$E18,0),1,""))))</f>
        <v/>
      </c>
      <c r="X18" s="15" t="str">
        <f t="shared" si="5"/>
        <v/>
      </c>
      <c r="Y18" s="15" t="str">
        <f t="shared" si="5"/>
        <v/>
      </c>
      <c r="Z18" s="15" t="str">
        <f t="shared" si="5"/>
        <v/>
      </c>
      <c r="AA18" s="5" t="str">
        <f t="shared" si="5"/>
        <v/>
      </c>
    </row>
    <row r="19" spans="2:27" s="30" customFormat="1" ht="15.75" x14ac:dyDescent="0.25">
      <c r="B19" s="36">
        <v>10</v>
      </c>
      <c r="C19" s="36">
        <v>12</v>
      </c>
      <c r="D19" s="36">
        <v>1</v>
      </c>
      <c r="E19" s="36"/>
      <c r="F19" s="73">
        <v>10</v>
      </c>
      <c r="G19" s="4">
        <f t="shared" ca="1" si="0"/>
        <v>13</v>
      </c>
      <c r="H19" s="19">
        <f t="shared" ca="1" si="1"/>
        <v>23</v>
      </c>
      <c r="I19" s="69">
        <f t="shared" ca="1" si="2"/>
        <v>1</v>
      </c>
      <c r="J19" s="92"/>
      <c r="K19" s="97"/>
      <c r="L19" s="76"/>
      <c r="M19" s="98"/>
      <c r="N19" s="32" t="str">
        <f t="shared" si="3"/>
        <v/>
      </c>
      <c r="O19" s="15" t="str">
        <f t="shared" si="5"/>
        <v/>
      </c>
      <c r="P19" s="15" t="str">
        <f t="shared" si="5"/>
        <v/>
      </c>
      <c r="Q19" s="15" t="str">
        <f t="shared" si="5"/>
        <v/>
      </c>
      <c r="R19" s="15" t="str">
        <f t="shared" si="5"/>
        <v/>
      </c>
      <c r="S19" s="15" t="str">
        <f t="shared" si="5"/>
        <v/>
      </c>
      <c r="T19" s="15" t="str">
        <f t="shared" si="5"/>
        <v/>
      </c>
      <c r="U19" s="15" t="str">
        <f t="shared" si="5"/>
        <v/>
      </c>
      <c r="V19" s="15" t="str">
        <f t="shared" si="5"/>
        <v/>
      </c>
      <c r="W19" s="15" t="str">
        <f t="shared" si="5"/>
        <v/>
      </c>
      <c r="X19" s="15" t="str">
        <f t="shared" si="5"/>
        <v/>
      </c>
      <c r="Y19" s="15" t="str">
        <f t="shared" si="5"/>
        <v/>
      </c>
      <c r="Z19" s="15" t="str">
        <f t="shared" si="5"/>
        <v/>
      </c>
      <c r="AA19" s="5" t="str">
        <f t="shared" si="5"/>
        <v/>
      </c>
    </row>
    <row r="20" spans="2:27" s="30" customFormat="1" ht="15.75" x14ac:dyDescent="0.25">
      <c r="B20" s="36">
        <v>11</v>
      </c>
      <c r="C20" s="36">
        <v>13</v>
      </c>
      <c r="D20" s="36">
        <v>2</v>
      </c>
      <c r="E20" s="36"/>
      <c r="F20" s="73">
        <v>11</v>
      </c>
      <c r="G20" s="4">
        <f t="shared" ca="1" si="0"/>
        <v>14</v>
      </c>
      <c r="H20" s="19">
        <f t="shared" ca="1" si="1"/>
        <v>30</v>
      </c>
      <c r="I20" s="69">
        <f t="shared" ca="1" si="2"/>
        <v>2</v>
      </c>
      <c r="J20" s="92"/>
      <c r="K20" s="97"/>
      <c r="L20" s="76"/>
      <c r="M20" s="98"/>
      <c r="N20" s="32" t="str">
        <f t="shared" si="3"/>
        <v/>
      </c>
      <c r="O20" s="15" t="str">
        <f t="shared" si="5"/>
        <v/>
      </c>
      <c r="P20" s="15" t="str">
        <f t="shared" si="5"/>
        <v/>
      </c>
      <c r="Q20" s="15" t="str">
        <f t="shared" si="5"/>
        <v/>
      </c>
      <c r="R20" s="15" t="str">
        <f t="shared" si="5"/>
        <v/>
      </c>
      <c r="S20" s="15" t="str">
        <f t="shared" si="5"/>
        <v/>
      </c>
      <c r="T20" s="15" t="str">
        <f t="shared" si="5"/>
        <v/>
      </c>
      <c r="U20" s="15" t="str">
        <f t="shared" si="5"/>
        <v/>
      </c>
      <c r="V20" s="15" t="str">
        <f t="shared" si="5"/>
        <v/>
      </c>
      <c r="W20" s="15" t="str">
        <f t="shared" si="5"/>
        <v/>
      </c>
      <c r="X20" s="15" t="str">
        <f t="shared" si="5"/>
        <v/>
      </c>
      <c r="Y20" s="15" t="str">
        <f t="shared" si="5"/>
        <v/>
      </c>
      <c r="Z20" s="15" t="str">
        <f t="shared" si="5"/>
        <v/>
      </c>
      <c r="AA20" s="5" t="str">
        <f t="shared" si="5"/>
        <v/>
      </c>
    </row>
    <row r="21" spans="2:27" s="30" customFormat="1" ht="15.75" x14ac:dyDescent="0.25">
      <c r="B21" s="36">
        <v>12</v>
      </c>
      <c r="C21" s="36">
        <v>14</v>
      </c>
      <c r="D21" s="36">
        <v>3</v>
      </c>
      <c r="E21" s="36"/>
      <c r="F21" s="73">
        <v>12</v>
      </c>
      <c r="G21" s="4">
        <f t="shared" ca="1" si="0"/>
        <v>23</v>
      </c>
      <c r="H21" s="19">
        <f t="shared" ca="1" si="1"/>
        <v>37</v>
      </c>
      <c r="I21" s="69">
        <f t="shared" ca="1" si="2"/>
        <v>3</v>
      </c>
      <c r="J21" s="92"/>
      <c r="K21" s="97"/>
      <c r="L21" s="76"/>
      <c r="M21" s="98"/>
      <c r="N21" s="32" t="str">
        <f t="shared" si="3"/>
        <v/>
      </c>
      <c r="O21" s="15" t="str">
        <f t="shared" si="5"/>
        <v/>
      </c>
      <c r="P21" s="15" t="str">
        <f t="shared" si="5"/>
        <v/>
      </c>
      <c r="Q21" s="15" t="str">
        <f t="shared" si="5"/>
        <v/>
      </c>
      <c r="R21" s="15" t="str">
        <f t="shared" si="5"/>
        <v/>
      </c>
      <c r="S21" s="15" t="str">
        <f t="shared" si="5"/>
        <v/>
      </c>
      <c r="T21" s="15" t="str">
        <f t="shared" si="5"/>
        <v/>
      </c>
      <c r="U21" s="15" t="str">
        <f t="shared" si="5"/>
        <v/>
      </c>
      <c r="V21" s="15" t="str">
        <f t="shared" si="5"/>
        <v/>
      </c>
      <c r="W21" s="15" t="str">
        <f t="shared" si="5"/>
        <v/>
      </c>
      <c r="X21" s="15" t="str">
        <f t="shared" si="5"/>
        <v/>
      </c>
      <c r="Y21" s="15" t="str">
        <f t="shared" si="5"/>
        <v/>
      </c>
      <c r="Z21" s="15" t="str">
        <f t="shared" si="5"/>
        <v/>
      </c>
      <c r="AA21" s="5" t="str">
        <f t="shared" si="5"/>
        <v/>
      </c>
    </row>
    <row r="22" spans="2:27" s="30" customFormat="1" ht="15.75" x14ac:dyDescent="0.25">
      <c r="B22" s="36">
        <v>13</v>
      </c>
      <c r="C22" s="36">
        <v>1</v>
      </c>
      <c r="D22" s="36">
        <v>4</v>
      </c>
      <c r="E22" s="36"/>
      <c r="F22" s="73">
        <v>13</v>
      </c>
      <c r="G22" s="4">
        <f t="shared" ca="1" si="0"/>
        <v>30</v>
      </c>
      <c r="H22" s="19">
        <f t="shared" ca="1" si="1"/>
        <v>1</v>
      </c>
      <c r="I22" s="69">
        <f t="shared" ca="1" si="2"/>
        <v>4</v>
      </c>
      <c r="J22" s="92"/>
      <c r="K22" s="97"/>
      <c r="L22" s="76"/>
      <c r="M22" s="98"/>
      <c r="N22" s="32" t="str">
        <f t="shared" si="3"/>
        <v/>
      </c>
      <c r="O22" s="15" t="str">
        <f t="shared" si="5"/>
        <v/>
      </c>
      <c r="P22" s="15" t="str">
        <f t="shared" si="5"/>
        <v/>
      </c>
      <c r="Q22" s="15" t="str">
        <f t="shared" si="5"/>
        <v/>
      </c>
      <c r="R22" s="15" t="str">
        <f t="shared" si="5"/>
        <v/>
      </c>
      <c r="S22" s="15" t="str">
        <f t="shared" si="5"/>
        <v/>
      </c>
      <c r="T22" s="15" t="str">
        <f t="shared" si="5"/>
        <v/>
      </c>
      <c r="U22" s="15" t="str">
        <f t="shared" si="5"/>
        <v/>
      </c>
      <c r="V22" s="15" t="str">
        <f t="shared" si="5"/>
        <v/>
      </c>
      <c r="W22" s="15" t="str">
        <f t="shared" si="5"/>
        <v/>
      </c>
      <c r="X22" s="15" t="str">
        <f t="shared" si="5"/>
        <v/>
      </c>
      <c r="Y22" s="15" t="str">
        <f t="shared" si="5"/>
        <v/>
      </c>
      <c r="Z22" s="15" t="str">
        <f t="shared" si="5"/>
        <v/>
      </c>
      <c r="AA22" s="5" t="str">
        <f t="shared" si="5"/>
        <v/>
      </c>
    </row>
    <row r="23" spans="2:27" s="30" customFormat="1" ht="16.5" thickBot="1" x14ac:dyDescent="0.3">
      <c r="B23" s="36">
        <v>14</v>
      </c>
      <c r="C23" s="36">
        <v>2</v>
      </c>
      <c r="D23" s="36">
        <v>5</v>
      </c>
      <c r="E23" s="36"/>
      <c r="F23" s="74">
        <v>14</v>
      </c>
      <c r="G23" s="6">
        <f t="shared" ca="1" si="0"/>
        <v>37</v>
      </c>
      <c r="H23" s="39">
        <f t="shared" ca="1" si="1"/>
        <v>2</v>
      </c>
      <c r="I23" s="40">
        <f t="shared" ca="1" si="2"/>
        <v>5</v>
      </c>
      <c r="J23" s="93"/>
      <c r="K23" s="99"/>
      <c r="L23" s="100"/>
      <c r="M23" s="101"/>
      <c r="N23" s="20" t="str">
        <f t="shared" si="3"/>
        <v/>
      </c>
      <c r="O23" s="16" t="str">
        <f t="shared" si="4"/>
        <v/>
      </c>
      <c r="P23" s="16" t="str">
        <f t="shared" si="4"/>
        <v/>
      </c>
      <c r="Q23" s="16" t="str">
        <f t="shared" si="4"/>
        <v/>
      </c>
      <c r="R23" s="16" t="str">
        <f t="shared" si="4"/>
        <v/>
      </c>
      <c r="S23" s="16" t="str">
        <f t="shared" si="4"/>
        <v/>
      </c>
      <c r="T23" s="16" t="str">
        <f t="shared" si="4"/>
        <v/>
      </c>
      <c r="U23" s="16" t="str">
        <f t="shared" si="4"/>
        <v/>
      </c>
      <c r="V23" s="16" t="str">
        <f t="shared" si="4"/>
        <v/>
      </c>
      <c r="W23" s="16" t="str">
        <f t="shared" si="4"/>
        <v/>
      </c>
      <c r="X23" s="16" t="str">
        <f t="shared" si="4"/>
        <v/>
      </c>
      <c r="Y23" s="16" t="str">
        <f t="shared" si="4"/>
        <v/>
      </c>
      <c r="Z23" s="16" t="str">
        <f t="shared" si="4"/>
        <v/>
      </c>
      <c r="AA23" s="43" t="str">
        <f t="shared" si="4"/>
        <v/>
      </c>
    </row>
    <row r="24" spans="2:27" ht="15.75" x14ac:dyDescent="0.25">
      <c r="K24" s="151" t="s">
        <v>4</v>
      </c>
      <c r="L24" s="152"/>
      <c r="M24" s="153"/>
      <c r="N24" s="44" t="str">
        <f t="shared" ref="N24:AA24" si="6">IF(SUM(N10:N23)&lt;1," ",SUM(N10:N23))</f>
        <v xml:space="preserve"> </v>
      </c>
      <c r="O24" s="45" t="str">
        <f t="shared" si="6"/>
        <v xml:space="preserve"> </v>
      </c>
      <c r="P24" s="45" t="str">
        <f t="shared" si="6"/>
        <v xml:space="preserve"> </v>
      </c>
      <c r="Q24" s="45" t="str">
        <f t="shared" si="6"/>
        <v xml:space="preserve"> </v>
      </c>
      <c r="R24" s="45" t="str">
        <f t="shared" si="6"/>
        <v xml:space="preserve"> </v>
      </c>
      <c r="S24" s="45" t="str">
        <f t="shared" si="6"/>
        <v xml:space="preserve"> </v>
      </c>
      <c r="T24" s="45" t="str">
        <f t="shared" si="6"/>
        <v xml:space="preserve"> </v>
      </c>
      <c r="U24" s="45" t="str">
        <f t="shared" si="6"/>
        <v xml:space="preserve"> </v>
      </c>
      <c r="V24" s="45" t="str">
        <f t="shared" si="6"/>
        <v xml:space="preserve"> </v>
      </c>
      <c r="W24" s="45" t="str">
        <f t="shared" si="6"/>
        <v xml:space="preserve"> </v>
      </c>
      <c r="X24" s="45" t="str">
        <f t="shared" si="6"/>
        <v xml:space="preserve"> </v>
      </c>
      <c r="Y24" s="45" t="str">
        <f t="shared" si="6"/>
        <v xml:space="preserve"> </v>
      </c>
      <c r="Z24" s="45" t="str">
        <f t="shared" si="6"/>
        <v xml:space="preserve"> </v>
      </c>
      <c r="AA24" s="46" t="str">
        <f t="shared" si="6"/>
        <v xml:space="preserve"> </v>
      </c>
    </row>
    <row r="25" spans="2:27" ht="16.5" thickBot="1" x14ac:dyDescent="0.3">
      <c r="K25" s="141" t="s">
        <v>5</v>
      </c>
      <c r="L25" s="142"/>
      <c r="M25" s="143"/>
      <c r="N25" s="120" t="e">
        <f>RANK(N24,$N24:$AL24,0)</f>
        <v>#VALUE!</v>
      </c>
      <c r="O25" s="121" t="e">
        <f t="shared" ref="O25:AA25" si="7">RANK(O24,$N24:$AL24,0)</f>
        <v>#VALUE!</v>
      </c>
      <c r="P25" s="121" t="e">
        <f t="shared" si="7"/>
        <v>#VALUE!</v>
      </c>
      <c r="Q25" s="121" t="e">
        <f t="shared" si="7"/>
        <v>#VALUE!</v>
      </c>
      <c r="R25" s="121" t="e">
        <f t="shared" si="7"/>
        <v>#VALUE!</v>
      </c>
      <c r="S25" s="121" t="e">
        <f t="shared" si="7"/>
        <v>#VALUE!</v>
      </c>
      <c r="T25" s="121" t="e">
        <f t="shared" si="7"/>
        <v>#VALUE!</v>
      </c>
      <c r="U25" s="121" t="e">
        <f t="shared" si="7"/>
        <v>#VALUE!</v>
      </c>
      <c r="V25" s="121" t="e">
        <f t="shared" si="7"/>
        <v>#VALUE!</v>
      </c>
      <c r="W25" s="121" t="e">
        <f t="shared" si="7"/>
        <v>#VALUE!</v>
      </c>
      <c r="X25" s="121" t="e">
        <f t="shared" si="7"/>
        <v>#VALUE!</v>
      </c>
      <c r="Y25" s="121" t="e">
        <f t="shared" si="7"/>
        <v>#VALUE!</v>
      </c>
      <c r="Z25" s="121" t="e">
        <f t="shared" si="7"/>
        <v>#VALUE!</v>
      </c>
      <c r="AA25" s="122" t="e">
        <f t="shared" si="7"/>
        <v>#VALUE!</v>
      </c>
    </row>
    <row r="26" spans="2:27" x14ac:dyDescent="0.2">
      <c r="N26" s="7"/>
      <c r="O26" s="7"/>
      <c r="P26" s="7"/>
      <c r="Q26" s="7"/>
    </row>
    <row r="27" spans="2:27" s="31" customFormat="1" ht="135.75" customHeight="1" x14ac:dyDescent="0.2">
      <c r="N27" s="8" t="str">
        <f>+Names!$B$2</f>
        <v>Luke</v>
      </c>
      <c r="O27" s="8" t="str">
        <f>+Names!$B$3</f>
        <v>Ro</v>
      </c>
      <c r="P27" s="8" t="str">
        <f>+Names!$B$4</f>
        <v>Caleb</v>
      </c>
      <c r="Q27" s="8" t="str">
        <f>+Names!$B$5</f>
        <v>Zau</v>
      </c>
      <c r="R27" s="8" t="str">
        <f>+Names!$B$6</f>
        <v>Brady</v>
      </c>
      <c r="S27" s="8" t="str">
        <f>+Names!$B$7</f>
        <v>Theo</v>
      </c>
      <c r="T27" s="8" t="str">
        <f>+Names!$B$8</f>
        <v>Jonathan</v>
      </c>
      <c r="U27" s="8" t="str">
        <f>+Names!$B$9</f>
        <v>Brenton</v>
      </c>
      <c r="V27" s="8" t="str">
        <f>+Names!$B$10</f>
        <v>Jospe</v>
      </c>
      <c r="W27" s="8" t="str">
        <f>+Names!$B$11</f>
        <v>Emery</v>
      </c>
      <c r="X27" s="8" t="str">
        <f>+Names!$B$12</f>
        <v>Isaac</v>
      </c>
      <c r="Y27" s="8" t="str">
        <f>+Names!$B$13</f>
        <v>Alain</v>
      </c>
      <c r="Z27" s="8" t="str">
        <f>+Names!$B$14</f>
        <v>Silas</v>
      </c>
      <c r="AA27" s="8" t="str">
        <f>+Names!$B$15</f>
        <v>De</v>
      </c>
    </row>
  </sheetData>
  <sheetProtection sheet="1" objects="1" scenarios="1" selectLockedCells="1"/>
  <mergeCells count="21">
    <mergeCell ref="K25:M25"/>
    <mergeCell ref="S3:U3"/>
    <mergeCell ref="S4:U4"/>
    <mergeCell ref="S5:U5"/>
    <mergeCell ref="M3:N3"/>
    <mergeCell ref="M4:N4"/>
    <mergeCell ref="M5:N5"/>
    <mergeCell ref="K24:M24"/>
    <mergeCell ref="R2:U2"/>
    <mergeCell ref="I2:L2"/>
    <mergeCell ref="F1:AA1"/>
    <mergeCell ref="K8:M8"/>
    <mergeCell ref="G8:I8"/>
    <mergeCell ref="N8:AA8"/>
    <mergeCell ref="M2:N2"/>
    <mergeCell ref="F2:G2"/>
    <mergeCell ref="M6:N6"/>
    <mergeCell ref="F3:G3"/>
    <mergeCell ref="F4:G4"/>
    <mergeCell ref="F5:G5"/>
    <mergeCell ref="F6:G6"/>
  </mergeCells>
  <phoneticPr fontId="14" type="noConversion"/>
  <conditionalFormatting sqref="F10:F23">
    <cfRule type="expression" dxfId="274" priority="31" stopIfTrue="1">
      <formula>$H$2=F10</formula>
    </cfRule>
  </conditionalFormatting>
  <conditionalFormatting sqref="G10">
    <cfRule type="expression" dxfId="273" priority="13" stopIfTrue="1">
      <formula>$K$10=1</formula>
    </cfRule>
    <cfRule type="expression" dxfId="272" priority="14" stopIfTrue="1">
      <formula>$L$10=1</formula>
    </cfRule>
    <cfRule type="expression" dxfId="271" priority="15" stopIfTrue="1">
      <formula>$M$10=1</formula>
    </cfRule>
  </conditionalFormatting>
  <conditionalFormatting sqref="G11:G23">
    <cfRule type="expression" dxfId="270" priority="16" stopIfTrue="1">
      <formula>K11=1</formula>
    </cfRule>
    <cfRule type="expression" dxfId="269" priority="17" stopIfTrue="1">
      <formula>L11=1</formula>
    </cfRule>
    <cfRule type="expression" dxfId="268" priority="18" stopIfTrue="1">
      <formula>M11=1</formula>
    </cfRule>
  </conditionalFormatting>
  <conditionalFormatting sqref="H10:H23">
    <cfRule type="expression" dxfId="267" priority="19" stopIfTrue="1">
      <formula>K10=2</formula>
    </cfRule>
    <cfRule type="expression" dxfId="266" priority="20" stopIfTrue="1">
      <formula>L10=2</formula>
    </cfRule>
    <cfRule type="expression" dxfId="265" priority="21" stopIfTrue="1">
      <formula>M10=2</formula>
    </cfRule>
  </conditionalFormatting>
  <conditionalFormatting sqref="I10:I23">
    <cfRule type="expression" dxfId="264" priority="22" stopIfTrue="1">
      <formula>K10=3</formula>
    </cfRule>
    <cfRule type="expression" dxfId="263" priority="23" stopIfTrue="1">
      <formula>L10=3</formula>
    </cfRule>
    <cfRule type="expression" dxfId="262" priority="24" stopIfTrue="1">
      <formula>M10=3</formula>
    </cfRule>
  </conditionalFormatting>
  <conditionalFormatting sqref="I3:N6">
    <cfRule type="expression" dxfId="261" priority="28" stopIfTrue="1">
      <formula>$M3="1st"</formula>
    </cfRule>
    <cfRule type="expression" dxfId="260" priority="29" stopIfTrue="1">
      <formula>$M3="2nd"</formula>
    </cfRule>
    <cfRule type="expression" dxfId="259" priority="30" stopIfTrue="1">
      <formula>$M3="3rd"</formula>
    </cfRule>
  </conditionalFormatting>
  <conditionalFormatting sqref="J10:J23">
    <cfRule type="expression" dxfId="258" priority="25" stopIfTrue="1">
      <formula>K10=4</formula>
    </cfRule>
    <cfRule type="expression" dxfId="257" priority="26" stopIfTrue="1">
      <formula>L10=4</formula>
    </cfRule>
    <cfRule type="expression" dxfId="256" priority="27" stopIfTrue="1">
      <formula>M10=4</formula>
    </cfRule>
  </conditionalFormatting>
  <conditionalFormatting sqref="N10:AA23">
    <cfRule type="cellIs" dxfId="255" priority="10" stopIfTrue="1" operator="equal">
      <formula>3</formula>
    </cfRule>
    <cfRule type="cellIs" dxfId="254" priority="11" stopIfTrue="1" operator="equal">
      <formula>2</formula>
    </cfRule>
    <cfRule type="cellIs" dxfId="253" priority="12" stopIfTrue="1" operator="equal">
      <formula>1</formula>
    </cfRule>
  </conditionalFormatting>
  <conditionalFormatting sqref="N25:AA25">
    <cfRule type="cellIs" dxfId="252" priority="1" operator="equal">
      <formula>3</formula>
    </cfRule>
    <cfRule type="cellIs" dxfId="251" priority="2" operator="equal">
      <formula>2</formula>
    </cfRule>
    <cfRule type="cellIs" dxfId="250" priority="3" operator="equal">
      <formula>1</formula>
    </cfRule>
  </conditionalFormatting>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12"/>
  <dimension ref="B1:AB26"/>
  <sheetViews>
    <sheetView showGridLines="0" zoomScaleNormal="100" workbookViewId="0">
      <selection activeCell="N24" sqref="N24"/>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8" width="4.7109375" customWidth="1"/>
    <col min="29" max="29" width="5.140625" customWidth="1"/>
    <col min="30" max="30" width="5.28515625" customWidth="1"/>
  </cols>
  <sheetData>
    <row r="1" spans="2:28"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132"/>
      <c r="AA1" s="25"/>
      <c r="AB1" s="25"/>
    </row>
    <row r="2" spans="2:28" s="29" customFormat="1" ht="22.5" x14ac:dyDescent="0.45">
      <c r="F2" s="133" t="s">
        <v>2</v>
      </c>
      <c r="G2" s="134"/>
      <c r="H2" s="21">
        <v>13</v>
      </c>
      <c r="I2" s="135" t="str">
        <f>+Names!$C$1</f>
        <v>Driver</v>
      </c>
      <c r="J2" s="136"/>
      <c r="K2" s="136"/>
      <c r="L2" s="137"/>
      <c r="M2" s="130" t="s">
        <v>8</v>
      </c>
      <c r="N2" s="130"/>
      <c r="R2" s="138" t="s">
        <v>12</v>
      </c>
      <c r="S2" s="139"/>
      <c r="T2" s="139"/>
      <c r="U2" s="140"/>
    </row>
    <row r="3" spans="2:28" s="29" customFormat="1" ht="18.75" x14ac:dyDescent="0.3">
      <c r="E3" s="17"/>
      <c r="F3" s="128" t="s">
        <v>0</v>
      </c>
      <c r="G3" s="129"/>
      <c r="H3" s="3">
        <f ca="1">INDIRECT(ADDRESS(INDIRECT(ADDRESS($H$2+9,2))+1,1,,,"Names"))</f>
        <v>30</v>
      </c>
      <c r="I3" s="84" t="str">
        <f ca="1">INDIRECT(ADDRESS(INDIRECT(ADDRESS($H$2+9,2))+1,2,,,"Names"))</f>
        <v>Silas</v>
      </c>
      <c r="J3" s="85"/>
      <c r="K3" s="85"/>
      <c r="L3" s="86"/>
      <c r="M3" s="130" t="str">
        <f ca="1">IF(INDIRECT(ADDRESS(9+$H$2,11))=1,"1st",IF(INDIRECT(ADDRESS(9+$H$2,12))=1,"2nd",IF(INDIRECT(ADDRESS(9+$H$2,13))=1,"3rd"," ")))</f>
        <v>1st</v>
      </c>
      <c r="N3" s="130" t="str">
        <f ca="1">IF($K3=4,3,IF($L3=4,2,IF($M3=4,1," ")))</f>
        <v xml:space="preserve"> </v>
      </c>
      <c r="R3" s="33"/>
      <c r="S3" s="131" t="s">
        <v>9</v>
      </c>
      <c r="T3" s="131"/>
      <c r="U3" s="131"/>
    </row>
    <row r="4" spans="2:28"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3rd</v>
      </c>
      <c r="N4" s="130" t="str">
        <f ca="1">IF($K4=4,3,IF($L4=4,2,IF($M4=4,1," ")))</f>
        <v xml:space="preserve"> </v>
      </c>
      <c r="R4" s="34"/>
      <c r="S4" s="131" t="s">
        <v>10</v>
      </c>
      <c r="T4" s="131"/>
      <c r="U4" s="131"/>
    </row>
    <row r="5" spans="2:28" s="29" customFormat="1" ht="18.75" x14ac:dyDescent="0.3">
      <c r="E5" s="17"/>
      <c r="F5" s="128" t="s">
        <v>6</v>
      </c>
      <c r="G5" s="129"/>
      <c r="H5" s="3">
        <f ca="1">INDIRECT(ADDRESS(INDIRECT(ADDRESS($H$2+9,4))+1,1,,,"Names"))</f>
        <v>23</v>
      </c>
      <c r="I5" s="84" t="str">
        <f ca="1">INDIRECT(ADDRESS(INDIRECT(ADDRESS($H$2+9,4))+1,2,,,"Names"))</f>
        <v>Alain</v>
      </c>
      <c r="J5" s="85"/>
      <c r="K5" s="85"/>
      <c r="L5" s="86"/>
      <c r="M5" s="130" t="str">
        <f ca="1">IF(INDIRECT(ADDRESS(9+$H$2,11))=3,"1st",IF(INDIRECT(ADDRESS(9+$H$2,12))=3,"2nd",IF(INDIRECT(ADDRESS(9+$H$2,13))=3,"3rd"," ")))</f>
        <v>2nd</v>
      </c>
      <c r="N5" s="130" t="str">
        <f ca="1">IF($K5=4,3,IF($L5=4,2,IF($M5=4,1," ")))</f>
        <v xml:space="preserve"> </v>
      </c>
      <c r="R5" s="35"/>
      <c r="S5" s="131" t="s">
        <v>11</v>
      </c>
      <c r="T5" s="131"/>
      <c r="U5" s="131"/>
    </row>
    <row r="6" spans="2:28" s="29" customFormat="1" ht="18.75" hidden="1" x14ac:dyDescent="0.3">
      <c r="E6" s="17"/>
      <c r="F6" s="128"/>
      <c r="G6" s="129"/>
      <c r="H6" s="3"/>
      <c r="I6" s="84"/>
      <c r="J6" s="85"/>
      <c r="K6" s="85"/>
      <c r="L6" s="86"/>
      <c r="M6" s="130"/>
      <c r="N6" s="130"/>
      <c r="R6"/>
      <c r="S6" s="26"/>
      <c r="T6" s="26"/>
      <c r="U6" s="26"/>
    </row>
    <row r="7" spans="2:28" ht="13.5" thickBot="1" x14ac:dyDescent="0.25">
      <c r="E7" s="28"/>
    </row>
    <row r="8" spans="2:28" s="30" customFormat="1" ht="16.5" thickBot="1" x14ac:dyDescent="0.25">
      <c r="G8" s="144" t="s">
        <v>3</v>
      </c>
      <c r="H8" s="145"/>
      <c r="I8" s="145"/>
      <c r="J8" s="83"/>
      <c r="K8" s="154" t="s">
        <v>34</v>
      </c>
      <c r="L8" s="147"/>
      <c r="M8" s="148"/>
      <c r="N8" s="154" t="s">
        <v>13</v>
      </c>
      <c r="O8" s="147"/>
      <c r="P8" s="147"/>
      <c r="Q8" s="147"/>
      <c r="R8" s="147"/>
      <c r="S8" s="147"/>
      <c r="T8" s="147"/>
      <c r="U8" s="147"/>
      <c r="V8" s="147"/>
      <c r="W8" s="147"/>
      <c r="X8" s="147"/>
      <c r="Y8" s="147"/>
      <c r="Z8" s="148"/>
    </row>
    <row r="9" spans="2:28" s="30" customFormat="1" ht="16.5" thickBot="1" x14ac:dyDescent="0.3">
      <c r="F9" s="9" t="s">
        <v>2</v>
      </c>
      <c r="G9" s="61" t="s">
        <v>0</v>
      </c>
      <c r="H9" s="62" t="s">
        <v>1</v>
      </c>
      <c r="I9" s="62" t="s">
        <v>6</v>
      </c>
      <c r="J9" s="70" t="s">
        <v>30</v>
      </c>
      <c r="K9" s="61" t="s">
        <v>31</v>
      </c>
      <c r="L9" s="62" t="s">
        <v>32</v>
      </c>
      <c r="M9" s="63" t="s">
        <v>33</v>
      </c>
      <c r="N9" s="59">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7">
        <f>+Names!$A$13</f>
        <v>23</v>
      </c>
      <c r="Z9" s="58">
        <f>+Names!$A$14</f>
        <v>30</v>
      </c>
    </row>
    <row r="10" spans="2:28" s="30" customFormat="1" ht="15.75" x14ac:dyDescent="0.25">
      <c r="B10" s="36">
        <v>1</v>
      </c>
      <c r="C10" s="36">
        <v>4</v>
      </c>
      <c r="D10" s="36">
        <v>13</v>
      </c>
      <c r="E10" s="36"/>
      <c r="F10" s="72">
        <v>1</v>
      </c>
      <c r="G10" s="37">
        <f t="shared" ref="G10:G22" ca="1" si="0">INDIRECT(ADDRESS(B10+1,1,,,"Names"))</f>
        <v>1</v>
      </c>
      <c r="H10" s="18">
        <f t="shared" ref="H10:H22" ca="1" si="1">INDIRECT(ADDRESS(C10+1,1,,,"Names"))</f>
        <v>4</v>
      </c>
      <c r="I10" s="38">
        <f t="shared" ref="I10:I22" ca="1" si="2">INDIRECT(ADDRESS(D10+1,1,,,"Names"))</f>
        <v>30</v>
      </c>
      <c r="J10" s="91"/>
      <c r="K10" s="49">
        <v>3</v>
      </c>
      <c r="L10" s="81">
        <v>1</v>
      </c>
      <c r="M10" s="77">
        <v>2</v>
      </c>
      <c r="N10" s="88">
        <f t="shared" ref="N10:Z21" si="3">IF(ISNA(MATCH(COLUMN()-13,$B10:$E10,0)),"",IF($K10=MATCH(COLUMN()-13,$B10:$E10,0),3,IF($L10=MATCH(COLUMN()-13,$B10:$E10,0),2,IF($M10=MATCH(COLUMN()-13,$B10:$E10,0),1," "))))</f>
        <v>2</v>
      </c>
      <c r="O10" s="89" t="str">
        <f t="shared" si="3"/>
        <v/>
      </c>
      <c r="P10" s="89" t="str">
        <f t="shared" si="3"/>
        <v/>
      </c>
      <c r="Q10" s="89">
        <f t="shared" si="3"/>
        <v>1</v>
      </c>
      <c r="R10" s="89" t="str">
        <f t="shared" si="3"/>
        <v/>
      </c>
      <c r="S10" s="89" t="str">
        <f t="shared" si="3"/>
        <v/>
      </c>
      <c r="T10" s="89" t="str">
        <f t="shared" si="3"/>
        <v/>
      </c>
      <c r="U10" s="89" t="str">
        <f t="shared" si="3"/>
        <v/>
      </c>
      <c r="V10" s="89" t="str">
        <f t="shared" si="3"/>
        <v/>
      </c>
      <c r="W10" s="89" t="str">
        <f t="shared" si="3"/>
        <v/>
      </c>
      <c r="X10" s="89" t="str">
        <f t="shared" si="3"/>
        <v/>
      </c>
      <c r="Y10" s="89" t="str">
        <f t="shared" si="3"/>
        <v/>
      </c>
      <c r="Z10" s="90">
        <f t="shared" si="3"/>
        <v>3</v>
      </c>
    </row>
    <row r="11" spans="2:28" s="30" customFormat="1" ht="15.75" x14ac:dyDescent="0.25">
      <c r="B11" s="36">
        <v>3</v>
      </c>
      <c r="C11" s="36">
        <v>6</v>
      </c>
      <c r="D11" s="36">
        <v>2</v>
      </c>
      <c r="E11" s="36"/>
      <c r="F11" s="73">
        <v>2</v>
      </c>
      <c r="G11" s="4">
        <f t="shared" ca="1" si="0"/>
        <v>3</v>
      </c>
      <c r="H11" s="19">
        <f t="shared" ca="1" si="1"/>
        <v>6</v>
      </c>
      <c r="I11" s="69">
        <f t="shared" ca="1" si="2"/>
        <v>2</v>
      </c>
      <c r="J11" s="92"/>
      <c r="K11" s="50">
        <v>3</v>
      </c>
      <c r="L11" s="75">
        <v>2</v>
      </c>
      <c r="M11" s="78">
        <v>1</v>
      </c>
      <c r="N11" s="32" t="str">
        <f t="shared" si="3"/>
        <v/>
      </c>
      <c r="O11" s="15">
        <f t="shared" si="3"/>
        <v>3</v>
      </c>
      <c r="P11" s="15">
        <f t="shared" si="3"/>
        <v>1</v>
      </c>
      <c r="Q11" s="15" t="str">
        <f t="shared" si="3"/>
        <v/>
      </c>
      <c r="R11" s="15" t="str">
        <f t="shared" si="3"/>
        <v/>
      </c>
      <c r="S11" s="15">
        <f t="shared" si="3"/>
        <v>2</v>
      </c>
      <c r="T11" s="15" t="str">
        <f t="shared" si="3"/>
        <v/>
      </c>
      <c r="U11" s="15" t="str">
        <f t="shared" si="3"/>
        <v/>
      </c>
      <c r="V11" s="15" t="str">
        <f t="shared" si="3"/>
        <v/>
      </c>
      <c r="W11" s="15" t="str">
        <f t="shared" si="3"/>
        <v/>
      </c>
      <c r="X11" s="15" t="str">
        <f t="shared" si="3"/>
        <v/>
      </c>
      <c r="Y11" s="15" t="str">
        <f t="shared" si="3"/>
        <v/>
      </c>
      <c r="Z11" s="5" t="str">
        <f t="shared" si="3"/>
        <v/>
      </c>
    </row>
    <row r="12" spans="2:28" s="30" customFormat="1" ht="15.75" x14ac:dyDescent="0.25">
      <c r="B12" s="36">
        <v>5</v>
      </c>
      <c r="C12" s="36">
        <v>8</v>
      </c>
      <c r="D12" s="36">
        <v>4</v>
      </c>
      <c r="E12" s="36"/>
      <c r="F12" s="73">
        <v>3</v>
      </c>
      <c r="G12" s="4">
        <f t="shared" ca="1" si="0"/>
        <v>5</v>
      </c>
      <c r="H12" s="19">
        <f t="shared" ca="1" si="1"/>
        <v>8</v>
      </c>
      <c r="I12" s="69">
        <f t="shared" ca="1" si="2"/>
        <v>4</v>
      </c>
      <c r="J12" s="92"/>
      <c r="K12" s="50">
        <v>1</v>
      </c>
      <c r="L12" s="75">
        <v>3</v>
      </c>
      <c r="M12" s="78">
        <v>2</v>
      </c>
      <c r="N12" s="32" t="str">
        <f t="shared" si="3"/>
        <v/>
      </c>
      <c r="O12" s="15" t="str">
        <f t="shared" si="3"/>
        <v/>
      </c>
      <c r="P12" s="15" t="str">
        <f t="shared" si="3"/>
        <v/>
      </c>
      <c r="Q12" s="15">
        <f t="shared" si="3"/>
        <v>2</v>
      </c>
      <c r="R12" s="15">
        <f t="shared" si="3"/>
        <v>3</v>
      </c>
      <c r="S12" s="15" t="str">
        <f t="shared" si="3"/>
        <v/>
      </c>
      <c r="T12" s="15" t="str">
        <f t="shared" si="3"/>
        <v/>
      </c>
      <c r="U12" s="15">
        <f t="shared" si="3"/>
        <v>1</v>
      </c>
      <c r="V12" s="15" t="str">
        <f t="shared" si="3"/>
        <v/>
      </c>
      <c r="W12" s="15" t="str">
        <f t="shared" si="3"/>
        <v/>
      </c>
      <c r="X12" s="15" t="str">
        <f t="shared" si="3"/>
        <v/>
      </c>
      <c r="Y12" s="15" t="str">
        <f t="shared" si="3"/>
        <v/>
      </c>
      <c r="Z12" s="5" t="str">
        <f t="shared" si="3"/>
        <v/>
      </c>
    </row>
    <row r="13" spans="2:28" s="30" customFormat="1" ht="15.75" x14ac:dyDescent="0.25">
      <c r="B13" s="36">
        <v>7</v>
      </c>
      <c r="C13" s="36">
        <v>10</v>
      </c>
      <c r="D13" s="36">
        <v>6</v>
      </c>
      <c r="E13" s="36"/>
      <c r="F13" s="73">
        <v>4</v>
      </c>
      <c r="G13" s="4">
        <f t="shared" ca="1" si="0"/>
        <v>7</v>
      </c>
      <c r="H13" s="19">
        <f t="shared" ca="1" si="1"/>
        <v>13</v>
      </c>
      <c r="I13" s="69">
        <f t="shared" ca="1" si="2"/>
        <v>6</v>
      </c>
      <c r="J13" s="92"/>
      <c r="K13" s="50">
        <v>3</v>
      </c>
      <c r="L13" s="75">
        <v>2</v>
      </c>
      <c r="M13" s="78">
        <v>1</v>
      </c>
      <c r="N13" s="32" t="str">
        <f t="shared" si="3"/>
        <v/>
      </c>
      <c r="O13" s="15" t="str">
        <f t="shared" si="3"/>
        <v/>
      </c>
      <c r="P13" s="15" t="str">
        <f t="shared" si="3"/>
        <v/>
      </c>
      <c r="Q13" s="15" t="str">
        <f t="shared" si="3"/>
        <v/>
      </c>
      <c r="R13" s="15" t="str">
        <f t="shared" si="3"/>
        <v/>
      </c>
      <c r="S13" s="15">
        <f t="shared" si="3"/>
        <v>3</v>
      </c>
      <c r="T13" s="15">
        <f t="shared" si="3"/>
        <v>1</v>
      </c>
      <c r="U13" s="15" t="str">
        <f t="shared" si="3"/>
        <v/>
      </c>
      <c r="V13" s="15" t="str">
        <f t="shared" si="3"/>
        <v/>
      </c>
      <c r="W13" s="15">
        <f t="shared" si="3"/>
        <v>2</v>
      </c>
      <c r="X13" s="15" t="str">
        <f t="shared" si="3"/>
        <v/>
      </c>
      <c r="Y13" s="15" t="str">
        <f t="shared" si="3"/>
        <v/>
      </c>
      <c r="Z13" s="5" t="str">
        <f t="shared" si="3"/>
        <v/>
      </c>
    </row>
    <row r="14" spans="2:28" s="30" customFormat="1" ht="15.75" x14ac:dyDescent="0.25">
      <c r="B14" s="36">
        <v>2</v>
      </c>
      <c r="C14" s="36">
        <v>5</v>
      </c>
      <c r="D14" s="36">
        <v>1</v>
      </c>
      <c r="E14" s="36"/>
      <c r="F14" s="73">
        <v>5</v>
      </c>
      <c r="G14" s="4">
        <f t="shared" ca="1" si="0"/>
        <v>2</v>
      </c>
      <c r="H14" s="19">
        <f t="shared" ca="1" si="1"/>
        <v>5</v>
      </c>
      <c r="I14" s="69">
        <f t="shared" ca="1" si="2"/>
        <v>1</v>
      </c>
      <c r="J14" s="92"/>
      <c r="K14" s="50">
        <v>1</v>
      </c>
      <c r="L14" s="75">
        <v>2</v>
      </c>
      <c r="M14" s="78">
        <v>3</v>
      </c>
      <c r="N14" s="32">
        <f t="shared" si="3"/>
        <v>1</v>
      </c>
      <c r="O14" s="15">
        <f t="shared" si="3"/>
        <v>3</v>
      </c>
      <c r="P14" s="15" t="str">
        <f t="shared" si="3"/>
        <v/>
      </c>
      <c r="Q14" s="15" t="str">
        <f t="shared" si="3"/>
        <v/>
      </c>
      <c r="R14" s="15">
        <f t="shared" si="3"/>
        <v>2</v>
      </c>
      <c r="S14" s="15" t="str">
        <f t="shared" si="3"/>
        <v/>
      </c>
      <c r="T14" s="15" t="str">
        <f t="shared" si="3"/>
        <v/>
      </c>
      <c r="U14" s="15" t="str">
        <f t="shared" si="3"/>
        <v/>
      </c>
      <c r="V14" s="15" t="str">
        <f t="shared" si="3"/>
        <v/>
      </c>
      <c r="W14" s="15" t="str">
        <f t="shared" si="3"/>
        <v/>
      </c>
      <c r="X14" s="15" t="str">
        <f t="shared" si="3"/>
        <v/>
      </c>
      <c r="Y14" s="15" t="str">
        <f t="shared" si="3"/>
        <v/>
      </c>
      <c r="Z14" s="5" t="str">
        <f t="shared" si="3"/>
        <v/>
      </c>
    </row>
    <row r="15" spans="2:28" s="30" customFormat="1" ht="15.75" x14ac:dyDescent="0.25">
      <c r="B15" s="36">
        <v>4</v>
      </c>
      <c r="C15" s="36">
        <v>7</v>
      </c>
      <c r="D15" s="36">
        <v>3</v>
      </c>
      <c r="E15" s="36"/>
      <c r="F15" s="73">
        <v>6</v>
      </c>
      <c r="G15" s="4">
        <f t="shared" ca="1" si="0"/>
        <v>4</v>
      </c>
      <c r="H15" s="19">
        <f t="shared" ca="1" si="1"/>
        <v>7</v>
      </c>
      <c r="I15" s="69">
        <f t="shared" ca="1" si="2"/>
        <v>3</v>
      </c>
      <c r="J15" s="92"/>
      <c r="K15" s="50">
        <v>1</v>
      </c>
      <c r="L15" s="75">
        <v>3</v>
      </c>
      <c r="M15" s="78">
        <v>2</v>
      </c>
      <c r="N15" s="32" t="str">
        <f t="shared" si="3"/>
        <v/>
      </c>
      <c r="O15" s="15" t="str">
        <f t="shared" si="3"/>
        <v/>
      </c>
      <c r="P15" s="15">
        <f t="shared" si="3"/>
        <v>2</v>
      </c>
      <c r="Q15" s="15">
        <f t="shared" si="3"/>
        <v>3</v>
      </c>
      <c r="R15" s="15" t="str">
        <f t="shared" si="3"/>
        <v/>
      </c>
      <c r="S15" s="15" t="str">
        <f t="shared" si="3"/>
        <v/>
      </c>
      <c r="T15" s="15">
        <f t="shared" si="3"/>
        <v>1</v>
      </c>
      <c r="U15" s="15" t="str">
        <f t="shared" si="3"/>
        <v/>
      </c>
      <c r="V15" s="15" t="str">
        <f t="shared" si="3"/>
        <v/>
      </c>
      <c r="W15" s="15" t="str">
        <f t="shared" si="3"/>
        <v/>
      </c>
      <c r="X15" s="15" t="str">
        <f t="shared" si="3"/>
        <v/>
      </c>
      <c r="Y15" s="15" t="str">
        <f t="shared" si="3"/>
        <v/>
      </c>
      <c r="Z15" s="5" t="str">
        <f t="shared" si="3"/>
        <v/>
      </c>
    </row>
    <row r="16" spans="2:28" s="30" customFormat="1" ht="15.75" x14ac:dyDescent="0.25">
      <c r="B16" s="36">
        <v>6</v>
      </c>
      <c r="C16" s="36">
        <v>9</v>
      </c>
      <c r="D16" s="36">
        <v>5</v>
      </c>
      <c r="E16" s="36"/>
      <c r="F16" s="73">
        <v>7</v>
      </c>
      <c r="G16" s="4">
        <f t="shared" ca="1" si="0"/>
        <v>6</v>
      </c>
      <c r="H16" s="19">
        <f t="shared" ca="1" si="1"/>
        <v>9</v>
      </c>
      <c r="I16" s="69">
        <f t="shared" ca="1" si="2"/>
        <v>5</v>
      </c>
      <c r="J16" s="92"/>
      <c r="K16" s="50">
        <v>3</v>
      </c>
      <c r="L16" s="75">
        <v>1</v>
      </c>
      <c r="M16" s="78">
        <v>2</v>
      </c>
      <c r="N16" s="32" t="str">
        <f t="shared" si="3"/>
        <v/>
      </c>
      <c r="O16" s="15" t="str">
        <f t="shared" si="3"/>
        <v/>
      </c>
      <c r="P16" s="15" t="str">
        <f t="shared" si="3"/>
        <v/>
      </c>
      <c r="Q16" s="15" t="str">
        <f t="shared" si="3"/>
        <v/>
      </c>
      <c r="R16" s="15">
        <f t="shared" si="3"/>
        <v>3</v>
      </c>
      <c r="S16" s="15">
        <f t="shared" si="3"/>
        <v>2</v>
      </c>
      <c r="T16" s="15" t="str">
        <f t="shared" si="3"/>
        <v/>
      </c>
      <c r="U16" s="15" t="str">
        <f t="shared" si="3"/>
        <v/>
      </c>
      <c r="V16" s="15">
        <f t="shared" si="3"/>
        <v>1</v>
      </c>
      <c r="W16" s="15" t="str">
        <f t="shared" si="3"/>
        <v/>
      </c>
      <c r="X16" s="15" t="str">
        <f t="shared" si="3"/>
        <v/>
      </c>
      <c r="Y16" s="15" t="str">
        <f t="shared" si="3"/>
        <v/>
      </c>
      <c r="Z16" s="5" t="str">
        <f t="shared" si="3"/>
        <v/>
      </c>
    </row>
    <row r="17" spans="2:26" s="30" customFormat="1" ht="15.75" x14ac:dyDescent="0.25">
      <c r="B17" s="36">
        <v>8</v>
      </c>
      <c r="C17" s="36">
        <v>11</v>
      </c>
      <c r="D17" s="36">
        <v>7</v>
      </c>
      <c r="E17" s="36"/>
      <c r="F17" s="73">
        <v>8</v>
      </c>
      <c r="G17" s="4">
        <f t="shared" ca="1" si="0"/>
        <v>8</v>
      </c>
      <c r="H17" s="19">
        <f t="shared" ca="1" si="1"/>
        <v>14</v>
      </c>
      <c r="I17" s="69">
        <f t="shared" ca="1" si="2"/>
        <v>7</v>
      </c>
      <c r="J17" s="92"/>
      <c r="K17" s="50">
        <v>2</v>
      </c>
      <c r="L17" s="75">
        <v>1</v>
      </c>
      <c r="M17" s="78">
        <v>3</v>
      </c>
      <c r="N17" s="32" t="str">
        <f t="shared" si="3"/>
        <v/>
      </c>
      <c r="O17" s="15" t="str">
        <f t="shared" si="3"/>
        <v/>
      </c>
      <c r="P17" s="15" t="str">
        <f t="shared" si="3"/>
        <v/>
      </c>
      <c r="Q17" s="15" t="str">
        <f t="shared" si="3"/>
        <v/>
      </c>
      <c r="R17" s="15" t="str">
        <f t="shared" si="3"/>
        <v/>
      </c>
      <c r="S17" s="15" t="str">
        <f t="shared" si="3"/>
        <v/>
      </c>
      <c r="T17" s="15">
        <f t="shared" si="3"/>
        <v>1</v>
      </c>
      <c r="U17" s="15">
        <f t="shared" si="3"/>
        <v>2</v>
      </c>
      <c r="V17" s="15" t="str">
        <f t="shared" si="3"/>
        <v/>
      </c>
      <c r="W17" s="15" t="str">
        <f t="shared" si="3"/>
        <v/>
      </c>
      <c r="X17" s="15">
        <f t="shared" si="3"/>
        <v>3</v>
      </c>
      <c r="Y17" s="15" t="str">
        <f t="shared" si="3"/>
        <v/>
      </c>
      <c r="Z17" s="5" t="str">
        <f t="shared" si="3"/>
        <v/>
      </c>
    </row>
    <row r="18" spans="2:26" s="30" customFormat="1" ht="15.75" x14ac:dyDescent="0.25">
      <c r="B18" s="36">
        <v>10</v>
      </c>
      <c r="C18" s="36">
        <v>13</v>
      </c>
      <c r="D18" s="36">
        <v>9</v>
      </c>
      <c r="E18" s="36"/>
      <c r="F18" s="73">
        <v>9</v>
      </c>
      <c r="G18" s="4">
        <f t="shared" ca="1" si="0"/>
        <v>13</v>
      </c>
      <c r="H18" s="19">
        <f t="shared" ca="1" si="1"/>
        <v>30</v>
      </c>
      <c r="I18" s="69">
        <f t="shared" ca="1" si="2"/>
        <v>9</v>
      </c>
      <c r="J18" s="92"/>
      <c r="K18" s="50">
        <v>2</v>
      </c>
      <c r="L18" s="75">
        <v>3</v>
      </c>
      <c r="M18" s="78">
        <v>1</v>
      </c>
      <c r="N18" s="32" t="str">
        <f t="shared" si="3"/>
        <v/>
      </c>
      <c r="O18" s="15" t="str">
        <f t="shared" si="3"/>
        <v/>
      </c>
      <c r="P18" s="15" t="str">
        <f t="shared" si="3"/>
        <v/>
      </c>
      <c r="Q18" s="15" t="str">
        <f t="shared" si="3"/>
        <v/>
      </c>
      <c r="R18" s="15" t="str">
        <f t="shared" si="3"/>
        <v/>
      </c>
      <c r="S18" s="15" t="str">
        <f t="shared" si="3"/>
        <v/>
      </c>
      <c r="T18" s="15" t="str">
        <f t="shared" si="3"/>
        <v/>
      </c>
      <c r="U18" s="15" t="str">
        <f t="shared" si="3"/>
        <v/>
      </c>
      <c r="V18" s="15">
        <f t="shared" si="3"/>
        <v>2</v>
      </c>
      <c r="W18" s="15">
        <f t="shared" si="3"/>
        <v>1</v>
      </c>
      <c r="X18" s="15" t="str">
        <f t="shared" si="3"/>
        <v/>
      </c>
      <c r="Y18" s="15" t="str">
        <f t="shared" si="3"/>
        <v/>
      </c>
      <c r="Z18" s="5">
        <f t="shared" si="3"/>
        <v>3</v>
      </c>
    </row>
    <row r="19" spans="2:26" s="30" customFormat="1" ht="15.75" x14ac:dyDescent="0.25">
      <c r="B19" s="36">
        <v>12</v>
      </c>
      <c r="C19" s="36">
        <v>2</v>
      </c>
      <c r="D19" s="36">
        <v>11</v>
      </c>
      <c r="E19" s="36"/>
      <c r="F19" s="73">
        <v>10</v>
      </c>
      <c r="G19" s="4">
        <f t="shared" ca="1" si="0"/>
        <v>23</v>
      </c>
      <c r="H19" s="19">
        <f t="shared" ca="1" si="1"/>
        <v>2</v>
      </c>
      <c r="I19" s="69">
        <f t="shared" ca="1" si="2"/>
        <v>14</v>
      </c>
      <c r="J19" s="92"/>
      <c r="K19" s="50">
        <v>3</v>
      </c>
      <c r="L19" s="75">
        <v>2</v>
      </c>
      <c r="M19" s="78">
        <v>1</v>
      </c>
      <c r="N19" s="32" t="str">
        <f t="shared" si="3"/>
        <v/>
      </c>
      <c r="O19" s="15">
        <f t="shared" si="3"/>
        <v>2</v>
      </c>
      <c r="P19" s="15" t="str">
        <f t="shared" si="3"/>
        <v/>
      </c>
      <c r="Q19" s="15" t="str">
        <f t="shared" si="3"/>
        <v/>
      </c>
      <c r="R19" s="15" t="str">
        <f t="shared" si="3"/>
        <v/>
      </c>
      <c r="S19" s="15" t="str">
        <f t="shared" si="3"/>
        <v/>
      </c>
      <c r="T19" s="15" t="str">
        <f t="shared" si="3"/>
        <v/>
      </c>
      <c r="U19" s="15" t="str">
        <f t="shared" si="3"/>
        <v/>
      </c>
      <c r="V19" s="15" t="str">
        <f t="shared" si="3"/>
        <v/>
      </c>
      <c r="W19" s="15" t="str">
        <f t="shared" si="3"/>
        <v/>
      </c>
      <c r="X19" s="15">
        <f t="shared" si="3"/>
        <v>3</v>
      </c>
      <c r="Y19" s="15">
        <f t="shared" si="3"/>
        <v>1</v>
      </c>
      <c r="Z19" s="5" t="str">
        <f t="shared" si="3"/>
        <v/>
      </c>
    </row>
    <row r="20" spans="2:26" s="30" customFormat="1" ht="15.75" x14ac:dyDescent="0.25">
      <c r="B20" s="36">
        <v>9</v>
      </c>
      <c r="C20" s="36">
        <v>12</v>
      </c>
      <c r="D20" s="36">
        <v>8</v>
      </c>
      <c r="E20" s="36"/>
      <c r="F20" s="73">
        <v>11</v>
      </c>
      <c r="G20" s="4">
        <f t="shared" ca="1" si="0"/>
        <v>9</v>
      </c>
      <c r="H20" s="19">
        <f t="shared" ca="1" si="1"/>
        <v>23</v>
      </c>
      <c r="I20" s="69">
        <f t="shared" ca="1" si="2"/>
        <v>8</v>
      </c>
      <c r="J20" s="92"/>
      <c r="K20" s="50">
        <v>2</v>
      </c>
      <c r="L20" s="75">
        <v>1</v>
      </c>
      <c r="M20" s="78">
        <v>3</v>
      </c>
      <c r="N20" s="32" t="str">
        <f t="shared" si="3"/>
        <v/>
      </c>
      <c r="O20" s="15" t="str">
        <f t="shared" si="3"/>
        <v/>
      </c>
      <c r="P20" s="15" t="str">
        <f t="shared" si="3"/>
        <v/>
      </c>
      <c r="Q20" s="15" t="str">
        <f t="shared" si="3"/>
        <v/>
      </c>
      <c r="R20" s="15" t="str">
        <f t="shared" si="3"/>
        <v/>
      </c>
      <c r="S20" s="15" t="str">
        <f t="shared" si="3"/>
        <v/>
      </c>
      <c r="T20" s="15" t="str">
        <f t="shared" si="3"/>
        <v/>
      </c>
      <c r="U20" s="15">
        <f t="shared" si="3"/>
        <v>1</v>
      </c>
      <c r="V20" s="15">
        <f t="shared" si="3"/>
        <v>2</v>
      </c>
      <c r="W20" s="15" t="str">
        <f t="shared" si="3"/>
        <v/>
      </c>
      <c r="X20" s="15" t="str">
        <f t="shared" si="3"/>
        <v/>
      </c>
      <c r="Y20" s="15">
        <f t="shared" si="3"/>
        <v>3</v>
      </c>
      <c r="Z20" s="5" t="str">
        <f t="shared" si="3"/>
        <v/>
      </c>
    </row>
    <row r="21" spans="2:26" s="30" customFormat="1" ht="15.75" x14ac:dyDescent="0.25">
      <c r="B21" s="36">
        <v>11</v>
      </c>
      <c r="C21" s="36">
        <v>1</v>
      </c>
      <c r="D21" s="36">
        <v>10</v>
      </c>
      <c r="E21" s="36"/>
      <c r="F21" s="73">
        <v>12</v>
      </c>
      <c r="G21" s="4">
        <f t="shared" ca="1" si="0"/>
        <v>14</v>
      </c>
      <c r="H21" s="19">
        <f t="shared" ca="1" si="1"/>
        <v>1</v>
      </c>
      <c r="I21" s="69">
        <f t="shared" ca="1" si="2"/>
        <v>13</v>
      </c>
      <c r="J21" s="92"/>
      <c r="K21" s="50">
        <v>1</v>
      </c>
      <c r="L21" s="75">
        <v>2</v>
      </c>
      <c r="M21" s="78">
        <v>3</v>
      </c>
      <c r="N21" s="32">
        <f t="shared" si="3"/>
        <v>2</v>
      </c>
      <c r="O21" s="15" t="str">
        <f t="shared" si="3"/>
        <v/>
      </c>
      <c r="P21" s="15" t="str">
        <f t="shared" si="3"/>
        <v/>
      </c>
      <c r="Q21" s="15" t="str">
        <f t="shared" si="3"/>
        <v/>
      </c>
      <c r="R21" s="15" t="str">
        <f t="shared" si="3"/>
        <v/>
      </c>
      <c r="S21" s="15" t="str">
        <f t="shared" si="3"/>
        <v/>
      </c>
      <c r="T21" s="15" t="str">
        <f t="shared" si="3"/>
        <v/>
      </c>
      <c r="U21" s="15" t="str">
        <f t="shared" si="3"/>
        <v/>
      </c>
      <c r="V21" s="15" t="str">
        <f t="shared" si="3"/>
        <v/>
      </c>
      <c r="W21" s="15">
        <f t="shared" si="3"/>
        <v>1</v>
      </c>
      <c r="X21" s="15">
        <f t="shared" si="3"/>
        <v>3</v>
      </c>
      <c r="Y21" s="15" t="str">
        <f t="shared" si="3"/>
        <v/>
      </c>
      <c r="Z21" s="5" t="str">
        <f t="shared" si="3"/>
        <v/>
      </c>
    </row>
    <row r="22" spans="2:26" s="30" customFormat="1" ht="16.5" thickBot="1" x14ac:dyDescent="0.3">
      <c r="B22" s="36">
        <v>13</v>
      </c>
      <c r="C22" s="36">
        <v>3</v>
      </c>
      <c r="D22" s="36">
        <v>12</v>
      </c>
      <c r="E22" s="36"/>
      <c r="F22" s="74">
        <v>13</v>
      </c>
      <c r="G22" s="6">
        <f t="shared" ca="1" si="0"/>
        <v>30</v>
      </c>
      <c r="H22" s="39">
        <f t="shared" ca="1" si="1"/>
        <v>3</v>
      </c>
      <c r="I22" s="40">
        <f t="shared" ca="1" si="2"/>
        <v>23</v>
      </c>
      <c r="J22" s="93"/>
      <c r="K22" s="79">
        <v>1</v>
      </c>
      <c r="L22" s="82">
        <v>3</v>
      </c>
      <c r="M22" s="80">
        <v>2</v>
      </c>
      <c r="N22" s="20" t="str">
        <f>IF(ISNA(MATCH(COLUMN()-13,$B22:$E22,0)),"",IF($K22=MATCH(COLUMN()-13,$B22:$E22,0),3,IF($L22=MATCH(COLUMN()-13,$B22:$E22,0),2,IF($M22=MATCH(COLUMN()-13,$B22:$E22,0),1," "))))</f>
        <v/>
      </c>
      <c r="O22" s="16" t="str">
        <f t="shared" ref="O22:Z22" si="4">IF(ISNA(MATCH(COLUMN()-13,$B22:$E22,0)),"",IF($K22=MATCH(COLUMN()-13,$B22:$E22,0),3,IF($L22=MATCH(COLUMN()-13,$B22:$E22,0),2,IF($M22=MATCH(COLUMN()-13,$B22:$E22,0),1," "))))</f>
        <v/>
      </c>
      <c r="P22" s="16">
        <f t="shared" si="4"/>
        <v>1</v>
      </c>
      <c r="Q22" s="16" t="str">
        <f t="shared" si="4"/>
        <v/>
      </c>
      <c r="R22" s="16" t="str">
        <f t="shared" si="4"/>
        <v/>
      </c>
      <c r="S22" s="16" t="str">
        <f t="shared" si="4"/>
        <v/>
      </c>
      <c r="T22" s="16" t="str">
        <f t="shared" si="4"/>
        <v/>
      </c>
      <c r="U22" s="16" t="str">
        <f t="shared" si="4"/>
        <v/>
      </c>
      <c r="V22" s="16" t="str">
        <f t="shared" si="4"/>
        <v/>
      </c>
      <c r="W22" s="16" t="str">
        <f t="shared" si="4"/>
        <v/>
      </c>
      <c r="X22" s="16" t="str">
        <f t="shared" si="4"/>
        <v/>
      </c>
      <c r="Y22" s="16">
        <f t="shared" si="4"/>
        <v>2</v>
      </c>
      <c r="Z22" s="43">
        <f t="shared" si="4"/>
        <v>3</v>
      </c>
    </row>
    <row r="23" spans="2:26" ht="15.75" x14ac:dyDescent="0.25">
      <c r="K23" s="151" t="s">
        <v>4</v>
      </c>
      <c r="L23" s="152"/>
      <c r="M23" s="153"/>
      <c r="N23" s="44">
        <f t="shared" ref="N23:Z23" si="5">IF(SUM(N10:N22)&lt;1," ",SUM(N10:N22))</f>
        <v>5</v>
      </c>
      <c r="O23" s="45">
        <f t="shared" si="5"/>
        <v>8</v>
      </c>
      <c r="P23" s="45">
        <f t="shared" si="5"/>
        <v>4</v>
      </c>
      <c r="Q23" s="45">
        <f t="shared" si="5"/>
        <v>6</v>
      </c>
      <c r="R23" s="45">
        <f t="shared" si="5"/>
        <v>8</v>
      </c>
      <c r="S23" s="45">
        <f t="shared" si="5"/>
        <v>7</v>
      </c>
      <c r="T23" s="45">
        <f t="shared" si="5"/>
        <v>3</v>
      </c>
      <c r="U23" s="45">
        <f t="shared" si="5"/>
        <v>4</v>
      </c>
      <c r="V23" s="45">
        <f t="shared" si="5"/>
        <v>5</v>
      </c>
      <c r="W23" s="45">
        <f t="shared" si="5"/>
        <v>4</v>
      </c>
      <c r="X23" s="45">
        <f t="shared" si="5"/>
        <v>9</v>
      </c>
      <c r="Y23" s="45">
        <f t="shared" si="5"/>
        <v>6</v>
      </c>
      <c r="Z23" s="46">
        <f t="shared" si="5"/>
        <v>9</v>
      </c>
    </row>
    <row r="24" spans="2:26" ht="16.5" thickBot="1" x14ac:dyDescent="0.3">
      <c r="K24" s="141" t="s">
        <v>5</v>
      </c>
      <c r="L24" s="142"/>
      <c r="M24" s="143"/>
      <c r="N24" s="120">
        <f>RANK(N23,$N23:$AL23,0)</f>
        <v>8</v>
      </c>
      <c r="O24" s="121">
        <f t="shared" ref="O24:Z24" si="6">RANK(O23,$N23:$AL23,0)</f>
        <v>3</v>
      </c>
      <c r="P24" s="121">
        <f t="shared" si="6"/>
        <v>10</v>
      </c>
      <c r="Q24" s="121">
        <f t="shared" si="6"/>
        <v>6</v>
      </c>
      <c r="R24" s="121">
        <f t="shared" si="6"/>
        <v>3</v>
      </c>
      <c r="S24" s="121">
        <f t="shared" si="6"/>
        <v>5</v>
      </c>
      <c r="T24" s="121">
        <f t="shared" si="6"/>
        <v>13</v>
      </c>
      <c r="U24" s="121">
        <f t="shared" si="6"/>
        <v>10</v>
      </c>
      <c r="V24" s="121">
        <f t="shared" si="6"/>
        <v>8</v>
      </c>
      <c r="W24" s="121">
        <f t="shared" si="6"/>
        <v>10</v>
      </c>
      <c r="X24" s="121">
        <f t="shared" si="6"/>
        <v>1</v>
      </c>
      <c r="Y24" s="121">
        <f t="shared" si="6"/>
        <v>6</v>
      </c>
      <c r="Z24" s="122">
        <f t="shared" si="6"/>
        <v>1</v>
      </c>
    </row>
    <row r="25" spans="2:26" x14ac:dyDescent="0.2">
      <c r="N25" s="7"/>
      <c r="O25" s="7"/>
      <c r="P25" s="7"/>
      <c r="Q25" s="7"/>
    </row>
    <row r="26" spans="2:26" s="31" customFormat="1" ht="135.75" customHeight="1" x14ac:dyDescent="0.2">
      <c r="N26" s="8" t="str">
        <f>+Names!$B$2</f>
        <v>Luke</v>
      </c>
      <c r="O26" s="8" t="str">
        <f>+Names!$B$3</f>
        <v>Ro</v>
      </c>
      <c r="P26" s="8" t="str">
        <f>+Names!$B$4</f>
        <v>Caleb</v>
      </c>
      <c r="Q26" s="8" t="str">
        <f>+Names!$B$5</f>
        <v>Zau</v>
      </c>
      <c r="R26" s="8" t="str">
        <f>+Names!$B$6</f>
        <v>Brady</v>
      </c>
      <c r="S26" s="8" t="str">
        <f>+Names!$B$7</f>
        <v>Theo</v>
      </c>
      <c r="T26" s="8" t="str">
        <f>+Names!$B$8</f>
        <v>Jonathan</v>
      </c>
      <c r="U26" s="8" t="str">
        <f>+Names!$B$9</f>
        <v>Brenton</v>
      </c>
      <c r="V26" s="8" t="str">
        <f>+Names!$B$10</f>
        <v>Jospe</v>
      </c>
      <c r="W26" s="8" t="str">
        <f>+Names!$B$11</f>
        <v>Emery</v>
      </c>
      <c r="X26" s="8" t="str">
        <f>+Names!$B$12</f>
        <v>Isaac</v>
      </c>
      <c r="Y26" s="8" t="str">
        <f>+Names!$B$13</f>
        <v>Alain</v>
      </c>
      <c r="Z26" s="8" t="str">
        <f>+Names!$B$14</f>
        <v>Silas</v>
      </c>
    </row>
  </sheetData>
  <sheetProtection sheet="1" objects="1" scenarios="1" selectLockedCells="1"/>
  <mergeCells count="21">
    <mergeCell ref="F1:Z1"/>
    <mergeCell ref="K24:M24"/>
    <mergeCell ref="S3:U3"/>
    <mergeCell ref="S4:U4"/>
    <mergeCell ref="S5:U5"/>
    <mergeCell ref="M3:N3"/>
    <mergeCell ref="M4:N4"/>
    <mergeCell ref="M5:N5"/>
    <mergeCell ref="M6:N6"/>
    <mergeCell ref="M2:N2"/>
    <mergeCell ref="K23:M23"/>
    <mergeCell ref="N8:Z8"/>
    <mergeCell ref="R2:U2"/>
    <mergeCell ref="K8:M8"/>
    <mergeCell ref="I2:L2"/>
    <mergeCell ref="F5:G5"/>
    <mergeCell ref="F6:G6"/>
    <mergeCell ref="G8:I8"/>
    <mergeCell ref="F2:G2"/>
    <mergeCell ref="F3:G3"/>
    <mergeCell ref="F4:G4"/>
  </mergeCells>
  <phoneticPr fontId="14" type="noConversion"/>
  <conditionalFormatting sqref="F10:F22">
    <cfRule type="expression" dxfId="249" priority="31" stopIfTrue="1">
      <formula>$H$2=F10</formula>
    </cfRule>
  </conditionalFormatting>
  <conditionalFormatting sqref="G10">
    <cfRule type="expression" dxfId="248" priority="13" stopIfTrue="1">
      <formula>$K$10=1</formula>
    </cfRule>
    <cfRule type="expression" dxfId="247" priority="14" stopIfTrue="1">
      <formula>$L$10=1</formula>
    </cfRule>
    <cfRule type="expression" dxfId="246" priority="15" stopIfTrue="1">
      <formula>$M$10=1</formula>
    </cfRule>
  </conditionalFormatting>
  <conditionalFormatting sqref="G11:G22">
    <cfRule type="expression" dxfId="245" priority="16" stopIfTrue="1">
      <formula>K11=1</formula>
    </cfRule>
    <cfRule type="expression" dxfId="244" priority="17" stopIfTrue="1">
      <formula>L11=1</formula>
    </cfRule>
    <cfRule type="expression" dxfId="243" priority="18" stopIfTrue="1">
      <formula>M11=1</formula>
    </cfRule>
  </conditionalFormatting>
  <conditionalFormatting sqref="H10:H22">
    <cfRule type="expression" dxfId="242" priority="19" stopIfTrue="1">
      <formula>K10=2</formula>
    </cfRule>
    <cfRule type="expression" dxfId="241" priority="20" stopIfTrue="1">
      <formula>L10=2</formula>
    </cfRule>
    <cfRule type="expression" dxfId="240" priority="21" stopIfTrue="1">
      <formula>M10=2</formula>
    </cfRule>
  </conditionalFormatting>
  <conditionalFormatting sqref="I10:I22">
    <cfRule type="expression" dxfId="239" priority="22" stopIfTrue="1">
      <formula>K10=3</formula>
    </cfRule>
    <cfRule type="expression" dxfId="238" priority="23" stopIfTrue="1">
      <formula>L10=3</formula>
    </cfRule>
    <cfRule type="expression" dxfId="237" priority="24" stopIfTrue="1">
      <formula>M10=3</formula>
    </cfRule>
  </conditionalFormatting>
  <conditionalFormatting sqref="I3:N6">
    <cfRule type="expression" dxfId="236" priority="28" stopIfTrue="1">
      <formula>$M3="1st"</formula>
    </cfRule>
    <cfRule type="expression" dxfId="235" priority="29" stopIfTrue="1">
      <formula>$M3="2nd"</formula>
    </cfRule>
    <cfRule type="expression" dxfId="234" priority="30" stopIfTrue="1">
      <formula>$M3="3rd"</formula>
    </cfRule>
  </conditionalFormatting>
  <conditionalFormatting sqref="J10:J22">
    <cfRule type="expression" dxfId="233" priority="25" stopIfTrue="1">
      <formula>K10=4</formula>
    </cfRule>
    <cfRule type="expression" dxfId="232" priority="26" stopIfTrue="1">
      <formula>L10=4</formula>
    </cfRule>
    <cfRule type="expression" dxfId="231" priority="27" stopIfTrue="1">
      <formula>M10=4</formula>
    </cfRule>
  </conditionalFormatting>
  <conditionalFormatting sqref="N10:Z22">
    <cfRule type="cellIs" dxfId="230" priority="10" stopIfTrue="1" operator="equal">
      <formula>3</formula>
    </cfRule>
    <cfRule type="cellIs" dxfId="229" priority="11" stopIfTrue="1" operator="equal">
      <formula>2</formula>
    </cfRule>
    <cfRule type="cellIs" dxfId="228" priority="12" stopIfTrue="1" operator="equal">
      <formula>1</formula>
    </cfRule>
  </conditionalFormatting>
  <conditionalFormatting sqref="N24:Z24">
    <cfRule type="cellIs" dxfId="227" priority="1" operator="equal">
      <formula>3</formula>
    </cfRule>
    <cfRule type="cellIs" dxfId="226" priority="2" operator="equal">
      <formula>2</formula>
    </cfRule>
    <cfRule type="cellIs" dxfId="225" priority="3" operator="equal">
      <formula>1</formula>
    </cfRule>
  </conditionalFormatting>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13"/>
  <dimension ref="B1:AA25"/>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7" width="4.7109375" customWidth="1"/>
    <col min="28" max="28" width="5.140625" customWidth="1"/>
    <col min="29" max="29" width="5.28515625" customWidth="1"/>
  </cols>
  <sheetData>
    <row r="1" spans="2:27" ht="31.5" customHeight="1" x14ac:dyDescent="0.2">
      <c r="E1" s="10"/>
      <c r="F1" s="155" t="str">
        <f>+Banner</f>
        <v>Westminster Trailblazers Pinewood Derby</v>
      </c>
      <c r="G1" s="132"/>
      <c r="H1" s="132"/>
      <c r="I1" s="132"/>
      <c r="J1" s="132"/>
      <c r="K1" s="132"/>
      <c r="L1" s="132"/>
      <c r="M1" s="132"/>
      <c r="N1" s="132"/>
      <c r="O1" s="132"/>
      <c r="P1" s="132"/>
      <c r="Q1" s="132"/>
      <c r="R1" s="132"/>
      <c r="S1" s="132"/>
      <c r="T1" s="132"/>
      <c r="U1" s="132"/>
      <c r="V1" s="132"/>
      <c r="W1" s="132"/>
      <c r="X1" s="132"/>
      <c r="Y1" s="132"/>
      <c r="Z1" s="25"/>
      <c r="AA1" s="25"/>
    </row>
    <row r="2" spans="2:27" s="29" customFormat="1" ht="22.5" x14ac:dyDescent="0.45">
      <c r="F2" s="133" t="s">
        <v>2</v>
      </c>
      <c r="G2" s="134"/>
      <c r="H2" s="21">
        <v>1</v>
      </c>
      <c r="I2" s="135" t="str">
        <f>+Names!$C$1</f>
        <v>Driver</v>
      </c>
      <c r="J2" s="136"/>
      <c r="K2" s="136"/>
      <c r="L2" s="137"/>
      <c r="M2" s="130" t="s">
        <v>8</v>
      </c>
      <c r="N2" s="130"/>
      <c r="R2" s="138" t="s">
        <v>12</v>
      </c>
      <c r="S2" s="139"/>
      <c r="T2" s="139"/>
      <c r="U2" s="140"/>
    </row>
    <row r="3" spans="2:27"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7"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7"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7" s="29" customFormat="1" ht="18.75" hidden="1" x14ac:dyDescent="0.3">
      <c r="E6" s="17"/>
      <c r="F6" s="128"/>
      <c r="G6" s="129"/>
      <c r="H6" s="3"/>
      <c r="I6" s="84"/>
      <c r="J6" s="85"/>
      <c r="K6" s="85"/>
      <c r="L6" s="86"/>
      <c r="M6" s="130"/>
      <c r="N6" s="130"/>
      <c r="R6"/>
      <c r="S6" s="26"/>
      <c r="T6" s="26"/>
      <c r="U6" s="26"/>
    </row>
    <row r="7" spans="2:27" ht="13.5" thickBot="1" x14ac:dyDescent="0.25">
      <c r="E7" s="28"/>
    </row>
    <row r="8" spans="2:27" s="30" customFormat="1" ht="16.5" thickBot="1" x14ac:dyDescent="0.25">
      <c r="G8" s="144" t="s">
        <v>3</v>
      </c>
      <c r="H8" s="145"/>
      <c r="I8" s="145"/>
      <c r="J8" s="83"/>
      <c r="K8" s="154" t="s">
        <v>34</v>
      </c>
      <c r="L8" s="147"/>
      <c r="M8" s="148"/>
      <c r="N8" s="154" t="s">
        <v>13</v>
      </c>
      <c r="O8" s="147"/>
      <c r="P8" s="147"/>
      <c r="Q8" s="147"/>
      <c r="R8" s="147"/>
      <c r="S8" s="147"/>
      <c r="T8" s="147"/>
      <c r="U8" s="147"/>
      <c r="V8" s="147"/>
      <c r="W8" s="147"/>
      <c r="X8" s="147"/>
      <c r="Y8" s="148"/>
    </row>
    <row r="9" spans="2:27" s="30" customFormat="1" ht="16.5" thickBot="1" x14ac:dyDescent="0.3">
      <c r="F9" s="14" t="s">
        <v>2</v>
      </c>
      <c r="G9" s="66" t="s">
        <v>0</v>
      </c>
      <c r="H9" s="67" t="s">
        <v>1</v>
      </c>
      <c r="I9" s="67" t="s">
        <v>6</v>
      </c>
      <c r="J9" s="68" t="s">
        <v>30</v>
      </c>
      <c r="K9" s="61" t="s">
        <v>31</v>
      </c>
      <c r="L9" s="62" t="s">
        <v>32</v>
      </c>
      <c r="M9" s="63" t="s">
        <v>33</v>
      </c>
      <c r="N9" s="54">
        <f>+Names!$A$2</f>
        <v>1</v>
      </c>
      <c r="O9" s="57">
        <f>+Names!$A$3</f>
        <v>2</v>
      </c>
      <c r="P9" s="57">
        <f>+Names!$A$4</f>
        <v>3</v>
      </c>
      <c r="Q9" s="57">
        <f>+Names!$A$5</f>
        <v>4</v>
      </c>
      <c r="R9" s="57">
        <f>+Names!$A$6</f>
        <v>5</v>
      </c>
      <c r="S9" s="57">
        <f>+Names!$A$7</f>
        <v>6</v>
      </c>
      <c r="T9" s="57">
        <f>+Names!$A$8</f>
        <v>7</v>
      </c>
      <c r="U9" s="57">
        <f>+Names!$A$9</f>
        <v>8</v>
      </c>
      <c r="V9" s="57">
        <f>+Names!$A$10</f>
        <v>9</v>
      </c>
      <c r="W9" s="57">
        <f>+Names!$A$11</f>
        <v>13</v>
      </c>
      <c r="X9" s="57">
        <f>+Names!$A$12</f>
        <v>14</v>
      </c>
      <c r="Y9" s="58">
        <f>+Names!$A$13</f>
        <v>23</v>
      </c>
    </row>
    <row r="10" spans="2:27" s="30" customFormat="1" ht="15.75" x14ac:dyDescent="0.25">
      <c r="B10" s="36">
        <v>1</v>
      </c>
      <c r="C10" s="36">
        <v>3</v>
      </c>
      <c r="D10" s="36">
        <v>6</v>
      </c>
      <c r="E10" s="36"/>
      <c r="F10" s="11">
        <v>1</v>
      </c>
      <c r="G10" s="37">
        <f t="shared" ref="G10:G21" ca="1" si="0">INDIRECT(ADDRESS(B10+1,1,,,"Names"))</f>
        <v>1</v>
      </c>
      <c r="H10" s="18">
        <f t="shared" ref="H10:H21" ca="1" si="1">INDIRECT(ADDRESS(C10+1,1,,,"Names"))</f>
        <v>3</v>
      </c>
      <c r="I10" s="38">
        <f t="shared" ref="I10:I21" ca="1" si="2">INDIRECT(ADDRESS(D10+1,1,,,"Names"))</f>
        <v>6</v>
      </c>
      <c r="J10" s="91"/>
      <c r="K10" s="49"/>
      <c r="L10" s="81"/>
      <c r="M10" s="77"/>
      <c r="N10" s="88" t="str">
        <f t="shared" ref="N10:Y19"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89" t="str">
        <f t="shared" si="3"/>
        <v xml:space="preserve"> </v>
      </c>
      <c r="T10" s="89" t="str">
        <f t="shared" si="3"/>
        <v/>
      </c>
      <c r="U10" s="89" t="str">
        <f t="shared" si="3"/>
        <v/>
      </c>
      <c r="V10" s="89" t="str">
        <f t="shared" si="3"/>
        <v/>
      </c>
      <c r="W10" s="89" t="str">
        <f t="shared" si="3"/>
        <v/>
      </c>
      <c r="X10" s="89" t="str">
        <f t="shared" si="3"/>
        <v/>
      </c>
      <c r="Y10" s="90" t="str">
        <f t="shared" si="3"/>
        <v/>
      </c>
    </row>
    <row r="11" spans="2:27" s="30" customFormat="1" ht="15.75" x14ac:dyDescent="0.25">
      <c r="B11" s="36">
        <v>2</v>
      </c>
      <c r="C11" s="36">
        <v>4</v>
      </c>
      <c r="D11" s="36">
        <v>7</v>
      </c>
      <c r="E11" s="36"/>
      <c r="F11" s="12">
        <v>2</v>
      </c>
      <c r="G11" s="4">
        <f t="shared" ca="1" si="0"/>
        <v>2</v>
      </c>
      <c r="H11" s="19">
        <f t="shared" ca="1" si="1"/>
        <v>4</v>
      </c>
      <c r="I11" s="69">
        <f t="shared" ca="1" si="2"/>
        <v>7</v>
      </c>
      <c r="J11" s="92"/>
      <c r="K11" s="97"/>
      <c r="L11" s="76"/>
      <c r="M11" s="98"/>
      <c r="N11" s="32" t="str">
        <f t="shared" si="3"/>
        <v/>
      </c>
      <c r="O11" s="15" t="str">
        <f t="shared" si="3"/>
        <v xml:space="preserve"> </v>
      </c>
      <c r="P11" s="15" t="str">
        <f t="shared" si="3"/>
        <v/>
      </c>
      <c r="Q11" s="15" t="str">
        <f t="shared" si="3"/>
        <v xml:space="preserve"> </v>
      </c>
      <c r="R11" s="15" t="str">
        <f t="shared" si="3"/>
        <v/>
      </c>
      <c r="S11" s="15" t="str">
        <f t="shared" si="3"/>
        <v/>
      </c>
      <c r="T11" s="15" t="str">
        <f t="shared" si="3"/>
        <v xml:space="preserve"> </v>
      </c>
      <c r="U11" s="15" t="str">
        <f t="shared" si="3"/>
        <v/>
      </c>
      <c r="V11" s="15" t="str">
        <f t="shared" si="3"/>
        <v/>
      </c>
      <c r="W11" s="15" t="str">
        <f t="shared" si="3"/>
        <v/>
      </c>
      <c r="X11" s="15" t="str">
        <f t="shared" si="3"/>
        <v/>
      </c>
      <c r="Y11" s="5" t="str">
        <f t="shared" si="3"/>
        <v/>
      </c>
    </row>
    <row r="12" spans="2:27" s="30" customFormat="1" ht="15.75" x14ac:dyDescent="0.25">
      <c r="B12" s="36">
        <v>3</v>
      </c>
      <c r="C12" s="36">
        <v>5</v>
      </c>
      <c r="D12" s="36">
        <v>8</v>
      </c>
      <c r="E12" s="36"/>
      <c r="F12" s="12">
        <v>3</v>
      </c>
      <c r="G12" s="4">
        <f t="shared" ca="1" si="0"/>
        <v>3</v>
      </c>
      <c r="H12" s="19">
        <f t="shared" ca="1" si="1"/>
        <v>5</v>
      </c>
      <c r="I12" s="69">
        <f t="shared" ca="1" si="2"/>
        <v>8</v>
      </c>
      <c r="J12" s="92"/>
      <c r="K12" s="97"/>
      <c r="L12" s="76"/>
      <c r="M12" s="98"/>
      <c r="N12" s="32" t="str">
        <f t="shared" si="3"/>
        <v/>
      </c>
      <c r="O12" s="15" t="str">
        <f t="shared" si="3"/>
        <v/>
      </c>
      <c r="P12" s="15" t="str">
        <f t="shared" si="3"/>
        <v xml:space="preserve"> </v>
      </c>
      <c r="Q12" s="15" t="str">
        <f t="shared" si="3"/>
        <v/>
      </c>
      <c r="R12" s="15" t="str">
        <f t="shared" si="3"/>
        <v xml:space="preserve"> </v>
      </c>
      <c r="S12" s="15" t="str">
        <f t="shared" si="3"/>
        <v/>
      </c>
      <c r="T12" s="15" t="str">
        <f t="shared" si="3"/>
        <v/>
      </c>
      <c r="U12" s="15" t="str">
        <f t="shared" si="3"/>
        <v xml:space="preserve"> </v>
      </c>
      <c r="V12" s="15" t="str">
        <f t="shared" si="3"/>
        <v/>
      </c>
      <c r="W12" s="15" t="str">
        <f t="shared" si="3"/>
        <v/>
      </c>
      <c r="X12" s="15" t="str">
        <f t="shared" si="3"/>
        <v/>
      </c>
      <c r="Y12" s="5" t="str">
        <f t="shared" si="3"/>
        <v/>
      </c>
    </row>
    <row r="13" spans="2:27" s="30" customFormat="1" ht="15.75" x14ac:dyDescent="0.25">
      <c r="B13" s="36">
        <v>4</v>
      </c>
      <c r="C13" s="36">
        <v>6</v>
      </c>
      <c r="D13" s="36">
        <v>9</v>
      </c>
      <c r="E13" s="36"/>
      <c r="F13" s="12">
        <v>4</v>
      </c>
      <c r="G13" s="4">
        <f t="shared" ca="1" si="0"/>
        <v>4</v>
      </c>
      <c r="H13" s="19">
        <f t="shared" ca="1" si="1"/>
        <v>6</v>
      </c>
      <c r="I13" s="69">
        <f t="shared" ca="1" si="2"/>
        <v>9</v>
      </c>
      <c r="J13" s="92"/>
      <c r="K13" s="97"/>
      <c r="L13" s="76"/>
      <c r="M13" s="98"/>
      <c r="N13" s="32" t="str">
        <f t="shared" si="3"/>
        <v/>
      </c>
      <c r="O13" s="15" t="str">
        <f t="shared" si="3"/>
        <v/>
      </c>
      <c r="P13" s="15" t="str">
        <f t="shared" si="3"/>
        <v/>
      </c>
      <c r="Q13" s="15" t="str">
        <f t="shared" si="3"/>
        <v xml:space="preserve"> </v>
      </c>
      <c r="R13" s="15" t="str">
        <f t="shared" si="3"/>
        <v/>
      </c>
      <c r="S13" s="15" t="str">
        <f t="shared" si="3"/>
        <v xml:space="preserve"> </v>
      </c>
      <c r="T13" s="15" t="str">
        <f t="shared" si="3"/>
        <v/>
      </c>
      <c r="U13" s="15" t="str">
        <f t="shared" si="3"/>
        <v/>
      </c>
      <c r="V13" s="15" t="str">
        <f t="shared" si="3"/>
        <v xml:space="preserve"> </v>
      </c>
      <c r="W13" s="15" t="str">
        <f t="shared" si="3"/>
        <v/>
      </c>
      <c r="X13" s="15" t="str">
        <f t="shared" si="3"/>
        <v/>
      </c>
      <c r="Y13" s="5" t="str">
        <f t="shared" si="3"/>
        <v/>
      </c>
    </row>
    <row r="14" spans="2:27" s="30" customFormat="1" ht="15.75" x14ac:dyDescent="0.25">
      <c r="B14" s="36">
        <v>5</v>
      </c>
      <c r="C14" s="36">
        <v>7</v>
      </c>
      <c r="D14" s="36">
        <v>10</v>
      </c>
      <c r="E14" s="36"/>
      <c r="F14" s="12">
        <v>5</v>
      </c>
      <c r="G14" s="4">
        <f t="shared" ca="1" si="0"/>
        <v>5</v>
      </c>
      <c r="H14" s="19">
        <f t="shared" ca="1" si="1"/>
        <v>7</v>
      </c>
      <c r="I14" s="69">
        <f t="shared" ca="1" si="2"/>
        <v>13</v>
      </c>
      <c r="J14" s="92"/>
      <c r="K14" s="97"/>
      <c r="L14" s="76"/>
      <c r="M14" s="98"/>
      <c r="N14" s="32" t="str">
        <f t="shared" si="3"/>
        <v/>
      </c>
      <c r="O14" s="15" t="str">
        <f t="shared" si="3"/>
        <v/>
      </c>
      <c r="P14" s="15" t="str">
        <f t="shared" si="3"/>
        <v/>
      </c>
      <c r="Q14" s="15" t="str">
        <f t="shared" si="3"/>
        <v/>
      </c>
      <c r="R14" s="15" t="str">
        <f t="shared" si="3"/>
        <v xml:space="preserve"> </v>
      </c>
      <c r="S14" s="15" t="str">
        <f t="shared" si="3"/>
        <v/>
      </c>
      <c r="T14" s="15" t="str">
        <f t="shared" si="3"/>
        <v xml:space="preserve"> </v>
      </c>
      <c r="U14" s="15" t="str">
        <f t="shared" si="3"/>
        <v/>
      </c>
      <c r="V14" s="15" t="str">
        <f t="shared" si="3"/>
        <v/>
      </c>
      <c r="W14" s="15" t="str">
        <f t="shared" si="3"/>
        <v xml:space="preserve"> </v>
      </c>
      <c r="X14" s="15" t="str">
        <f t="shared" si="3"/>
        <v/>
      </c>
      <c r="Y14" s="5" t="str">
        <f t="shared" si="3"/>
        <v/>
      </c>
    </row>
    <row r="15" spans="2:27" s="30" customFormat="1" ht="15.75" x14ac:dyDescent="0.25">
      <c r="B15" s="36">
        <v>6</v>
      </c>
      <c r="C15" s="36">
        <v>8</v>
      </c>
      <c r="D15" s="36">
        <v>11</v>
      </c>
      <c r="E15" s="36"/>
      <c r="F15" s="12">
        <v>6</v>
      </c>
      <c r="G15" s="4">
        <f t="shared" ca="1" si="0"/>
        <v>6</v>
      </c>
      <c r="H15" s="19">
        <f t="shared" ca="1" si="1"/>
        <v>8</v>
      </c>
      <c r="I15" s="69">
        <f t="shared" ca="1" si="2"/>
        <v>14</v>
      </c>
      <c r="J15" s="92"/>
      <c r="K15" s="97"/>
      <c r="L15" s="76"/>
      <c r="M15" s="98"/>
      <c r="N15" s="32" t="str">
        <f t="shared" si="3"/>
        <v/>
      </c>
      <c r="O15" s="15" t="str">
        <f t="shared" si="3"/>
        <v/>
      </c>
      <c r="P15" s="15" t="str">
        <f t="shared" si="3"/>
        <v/>
      </c>
      <c r="Q15" s="15" t="str">
        <f t="shared" si="3"/>
        <v/>
      </c>
      <c r="R15" s="15" t="str">
        <f t="shared" si="3"/>
        <v/>
      </c>
      <c r="S15" s="15" t="str">
        <f t="shared" si="3"/>
        <v xml:space="preserve"> </v>
      </c>
      <c r="T15" s="15" t="str">
        <f t="shared" si="3"/>
        <v/>
      </c>
      <c r="U15" s="15" t="str">
        <f t="shared" si="3"/>
        <v xml:space="preserve"> </v>
      </c>
      <c r="V15" s="15" t="str">
        <f t="shared" si="3"/>
        <v/>
      </c>
      <c r="W15" s="15" t="str">
        <f t="shared" si="3"/>
        <v/>
      </c>
      <c r="X15" s="15" t="str">
        <f t="shared" si="3"/>
        <v xml:space="preserve"> </v>
      </c>
      <c r="Y15" s="5" t="str">
        <f t="shared" si="3"/>
        <v/>
      </c>
    </row>
    <row r="16" spans="2:27" s="30" customFormat="1" ht="15.75" x14ac:dyDescent="0.25">
      <c r="B16" s="36">
        <v>7</v>
      </c>
      <c r="C16" s="36">
        <v>9</v>
      </c>
      <c r="D16" s="36">
        <v>12</v>
      </c>
      <c r="E16" s="36"/>
      <c r="F16" s="12">
        <v>7</v>
      </c>
      <c r="G16" s="4">
        <f t="shared" ca="1" si="0"/>
        <v>7</v>
      </c>
      <c r="H16" s="19">
        <f t="shared" ca="1" si="1"/>
        <v>9</v>
      </c>
      <c r="I16" s="69">
        <f t="shared" ca="1" si="2"/>
        <v>23</v>
      </c>
      <c r="J16" s="92"/>
      <c r="K16" s="97"/>
      <c r="L16" s="76"/>
      <c r="M16" s="98"/>
      <c r="N16" s="32" t="str">
        <f t="shared" si="3"/>
        <v/>
      </c>
      <c r="O16" s="15" t="str">
        <f t="shared" si="3"/>
        <v/>
      </c>
      <c r="P16" s="15" t="str">
        <f t="shared" si="3"/>
        <v/>
      </c>
      <c r="Q16" s="15" t="str">
        <f t="shared" si="3"/>
        <v/>
      </c>
      <c r="R16" s="15" t="str">
        <f t="shared" si="3"/>
        <v/>
      </c>
      <c r="S16" s="15" t="str">
        <f t="shared" si="3"/>
        <v/>
      </c>
      <c r="T16" s="15" t="str">
        <f t="shared" si="3"/>
        <v xml:space="preserve"> </v>
      </c>
      <c r="U16" s="15" t="str">
        <f t="shared" si="3"/>
        <v/>
      </c>
      <c r="V16" s="15" t="str">
        <f t="shared" si="3"/>
        <v xml:space="preserve"> </v>
      </c>
      <c r="W16" s="15" t="str">
        <f t="shared" si="3"/>
        <v/>
      </c>
      <c r="X16" s="15" t="str">
        <f t="shared" si="3"/>
        <v/>
      </c>
      <c r="Y16" s="5" t="str">
        <f t="shared" si="3"/>
        <v xml:space="preserve"> </v>
      </c>
    </row>
    <row r="17" spans="2:25" s="30" customFormat="1" ht="15.75" x14ac:dyDescent="0.25">
      <c r="B17" s="36">
        <v>8</v>
      </c>
      <c r="C17" s="36">
        <v>10</v>
      </c>
      <c r="D17" s="36">
        <v>1</v>
      </c>
      <c r="E17" s="36"/>
      <c r="F17" s="12">
        <v>8</v>
      </c>
      <c r="G17" s="4">
        <f t="shared" ca="1" si="0"/>
        <v>8</v>
      </c>
      <c r="H17" s="19">
        <f t="shared" ca="1" si="1"/>
        <v>13</v>
      </c>
      <c r="I17" s="69">
        <f t="shared" ca="1" si="2"/>
        <v>1</v>
      </c>
      <c r="J17" s="92"/>
      <c r="K17" s="97"/>
      <c r="L17" s="76"/>
      <c r="M17" s="98"/>
      <c r="N17" s="32" t="str">
        <f t="shared" si="3"/>
        <v xml:space="preserve"> </v>
      </c>
      <c r="O17" s="15" t="str">
        <f t="shared" si="3"/>
        <v/>
      </c>
      <c r="P17" s="15" t="str">
        <f t="shared" si="3"/>
        <v/>
      </c>
      <c r="Q17" s="15" t="str">
        <f t="shared" si="3"/>
        <v/>
      </c>
      <c r="R17" s="15" t="str">
        <f t="shared" si="3"/>
        <v/>
      </c>
      <c r="S17" s="15" t="str">
        <f t="shared" si="3"/>
        <v/>
      </c>
      <c r="T17" s="15" t="str">
        <f t="shared" si="3"/>
        <v/>
      </c>
      <c r="U17" s="15" t="str">
        <f t="shared" si="3"/>
        <v xml:space="preserve"> </v>
      </c>
      <c r="V17" s="15" t="str">
        <f t="shared" si="3"/>
        <v/>
      </c>
      <c r="W17" s="15" t="str">
        <f t="shared" si="3"/>
        <v xml:space="preserve"> </v>
      </c>
      <c r="X17" s="15" t="str">
        <f t="shared" si="3"/>
        <v/>
      </c>
      <c r="Y17" s="5" t="str">
        <f t="shared" si="3"/>
        <v/>
      </c>
    </row>
    <row r="18" spans="2:25" s="30" customFormat="1" ht="15.75" x14ac:dyDescent="0.25">
      <c r="B18" s="36">
        <v>9</v>
      </c>
      <c r="C18" s="36">
        <v>11</v>
      </c>
      <c r="D18" s="36">
        <v>2</v>
      </c>
      <c r="E18" s="36"/>
      <c r="F18" s="12">
        <v>9</v>
      </c>
      <c r="G18" s="4">
        <f t="shared" ca="1" si="0"/>
        <v>9</v>
      </c>
      <c r="H18" s="19">
        <f t="shared" ca="1" si="1"/>
        <v>14</v>
      </c>
      <c r="I18" s="69">
        <f t="shared" ca="1" si="2"/>
        <v>2</v>
      </c>
      <c r="J18" s="92"/>
      <c r="K18" s="97"/>
      <c r="L18" s="76"/>
      <c r="M18" s="98"/>
      <c r="N18" s="32" t="str">
        <f t="shared" si="3"/>
        <v/>
      </c>
      <c r="O18" s="15" t="str">
        <f t="shared" si="3"/>
        <v xml:space="preserve"> </v>
      </c>
      <c r="P18" s="15" t="str">
        <f t="shared" si="3"/>
        <v/>
      </c>
      <c r="Q18" s="15" t="str">
        <f t="shared" si="3"/>
        <v/>
      </c>
      <c r="R18" s="15" t="str">
        <f t="shared" si="3"/>
        <v/>
      </c>
      <c r="S18" s="15" t="str">
        <f t="shared" si="3"/>
        <v/>
      </c>
      <c r="T18" s="15" t="str">
        <f t="shared" si="3"/>
        <v/>
      </c>
      <c r="U18" s="15" t="str">
        <f t="shared" si="3"/>
        <v/>
      </c>
      <c r="V18" s="15" t="str">
        <f t="shared" si="3"/>
        <v xml:space="preserve"> </v>
      </c>
      <c r="W18" s="15" t="str">
        <f t="shared" si="3"/>
        <v/>
      </c>
      <c r="X18" s="15" t="str">
        <f t="shared" si="3"/>
        <v xml:space="preserve"> </v>
      </c>
      <c r="Y18" s="5" t="str">
        <f t="shared" si="3"/>
        <v/>
      </c>
    </row>
    <row r="19" spans="2:25" s="30" customFormat="1" ht="15.75" x14ac:dyDescent="0.25">
      <c r="B19" s="36">
        <v>10</v>
      </c>
      <c r="C19" s="36">
        <v>12</v>
      </c>
      <c r="D19" s="36">
        <v>3</v>
      </c>
      <c r="E19" s="36"/>
      <c r="F19" s="12">
        <v>10</v>
      </c>
      <c r="G19" s="4">
        <f t="shared" ca="1" si="0"/>
        <v>13</v>
      </c>
      <c r="H19" s="19">
        <f t="shared" ca="1" si="1"/>
        <v>23</v>
      </c>
      <c r="I19" s="69">
        <f t="shared" ca="1" si="2"/>
        <v>3</v>
      </c>
      <c r="J19" s="92"/>
      <c r="K19" s="97"/>
      <c r="L19" s="76"/>
      <c r="M19" s="98"/>
      <c r="N19" s="32" t="str">
        <f t="shared" si="3"/>
        <v/>
      </c>
      <c r="O19" s="15" t="str">
        <f t="shared" si="3"/>
        <v/>
      </c>
      <c r="P19" s="15" t="str">
        <f t="shared" si="3"/>
        <v xml:space="preserve"> </v>
      </c>
      <c r="Q19" s="15" t="str">
        <f t="shared" si="3"/>
        <v/>
      </c>
      <c r="R19" s="15" t="str">
        <f t="shared" si="3"/>
        <v/>
      </c>
      <c r="S19" s="15" t="str">
        <f t="shared" si="3"/>
        <v/>
      </c>
      <c r="T19" s="15" t="str">
        <f t="shared" si="3"/>
        <v/>
      </c>
      <c r="U19" s="15" t="str">
        <f t="shared" si="3"/>
        <v/>
      </c>
      <c r="V19" s="15" t="str">
        <f t="shared" si="3"/>
        <v/>
      </c>
      <c r="W19" s="15" t="str">
        <f t="shared" si="3"/>
        <v xml:space="preserve"> </v>
      </c>
      <c r="X19" s="15" t="str">
        <f t="shared" si="3"/>
        <v/>
      </c>
      <c r="Y19" s="5" t="str">
        <f t="shared" si="3"/>
        <v xml:space="preserve"> </v>
      </c>
    </row>
    <row r="20" spans="2:25" s="30" customFormat="1" ht="15.75" x14ac:dyDescent="0.25">
      <c r="B20" s="36">
        <v>11</v>
      </c>
      <c r="C20" s="36">
        <v>1</v>
      </c>
      <c r="D20" s="36">
        <v>4</v>
      </c>
      <c r="E20" s="36"/>
      <c r="F20" s="12">
        <v>11</v>
      </c>
      <c r="G20" s="4">
        <f t="shared" ca="1" si="0"/>
        <v>14</v>
      </c>
      <c r="H20" s="19">
        <f t="shared" ca="1" si="1"/>
        <v>1</v>
      </c>
      <c r="I20" s="69">
        <f t="shared" ca="1" si="2"/>
        <v>4</v>
      </c>
      <c r="J20" s="92"/>
      <c r="K20" s="97"/>
      <c r="L20" s="76"/>
      <c r="M20" s="98"/>
      <c r="N20" s="32" t="str">
        <f>IF(ISNA(MATCH(COLUMN()-13,$B20:$E20,0)),"",IF($K20=MATCH(COLUMN()-13,$B20:$E20,0),3,IF($L20=MATCH(COLUMN()-13,$B20:$E20,0),2,IF($M20=MATCH(COLUMN()-13,$B20:$E20,0),1,""))))</f>
        <v/>
      </c>
      <c r="O20" s="15" t="str">
        <f t="shared" ref="O20:Y21" si="4">IF(ISNA(MATCH(COLUMN()-13,$B20:$E20,0)),"",IF($K20=MATCH(COLUMN()-13,$B20:$E20,0),3,IF($L20=MATCH(COLUMN()-13,$B20:$E20,0),2,IF($M20=MATCH(COLUMN()-13,$B20:$E20,0),1," "))))</f>
        <v/>
      </c>
      <c r="P20" s="15" t="str">
        <f t="shared" si="4"/>
        <v/>
      </c>
      <c r="Q20" s="15" t="str">
        <f t="shared" si="4"/>
        <v xml:space="preserve"> </v>
      </c>
      <c r="R20" s="15" t="str">
        <f t="shared" si="4"/>
        <v/>
      </c>
      <c r="S20" s="15" t="str">
        <f t="shared" si="4"/>
        <v/>
      </c>
      <c r="T20" s="15" t="str">
        <f t="shared" si="4"/>
        <v/>
      </c>
      <c r="U20" s="15" t="str">
        <f t="shared" si="4"/>
        <v/>
      </c>
      <c r="V20" s="15" t="str">
        <f t="shared" si="4"/>
        <v/>
      </c>
      <c r="W20" s="15" t="str">
        <f t="shared" si="4"/>
        <v/>
      </c>
      <c r="X20" s="15" t="str">
        <f t="shared" si="4"/>
        <v xml:space="preserve"> </v>
      </c>
      <c r="Y20" s="5" t="str">
        <f t="shared" si="4"/>
        <v/>
      </c>
    </row>
    <row r="21" spans="2:25" s="30" customFormat="1" ht="16.5" thickBot="1" x14ac:dyDescent="0.3">
      <c r="B21" s="36">
        <v>12</v>
      </c>
      <c r="C21" s="36">
        <v>2</v>
      </c>
      <c r="D21" s="36">
        <v>5</v>
      </c>
      <c r="E21" s="36"/>
      <c r="F21" s="13">
        <v>12</v>
      </c>
      <c r="G21" s="6">
        <f t="shared" ca="1" si="0"/>
        <v>23</v>
      </c>
      <c r="H21" s="39">
        <f t="shared" ca="1" si="1"/>
        <v>2</v>
      </c>
      <c r="I21" s="40">
        <f t="shared" ca="1" si="2"/>
        <v>5</v>
      </c>
      <c r="J21" s="93"/>
      <c r="K21" s="99"/>
      <c r="L21" s="100"/>
      <c r="M21" s="101"/>
      <c r="N21" s="20" t="str">
        <f>IF(ISNA(MATCH(COLUMN()-13,$B21:$E21,0)),"",IF($K21=MATCH(COLUMN()-13,$B21:$E21,0),3,IF($L21=MATCH(COLUMN()-13,$B21:$E21,0),2,IF($M21=MATCH(COLUMN()-13,$B21:$E21,0),1," "))))</f>
        <v/>
      </c>
      <c r="O21" s="16" t="str">
        <f t="shared" si="4"/>
        <v xml:space="preserve"> </v>
      </c>
      <c r="P21" s="16" t="str">
        <f t="shared" si="4"/>
        <v/>
      </c>
      <c r="Q21" s="16" t="str">
        <f t="shared" si="4"/>
        <v/>
      </c>
      <c r="R21" s="16" t="str">
        <f t="shared" si="4"/>
        <v xml:space="preserve"> </v>
      </c>
      <c r="S21" s="16" t="str">
        <f t="shared" si="4"/>
        <v/>
      </c>
      <c r="T21" s="16" t="str">
        <f t="shared" si="4"/>
        <v/>
      </c>
      <c r="U21" s="16" t="str">
        <f t="shared" si="4"/>
        <v/>
      </c>
      <c r="V21" s="16" t="str">
        <f t="shared" si="4"/>
        <v/>
      </c>
      <c r="W21" s="16" t="str">
        <f t="shared" si="4"/>
        <v/>
      </c>
      <c r="X21" s="16" t="str">
        <f t="shared" si="4"/>
        <v/>
      </c>
      <c r="Y21" s="43" t="str">
        <f t="shared" si="4"/>
        <v xml:space="preserve"> </v>
      </c>
    </row>
    <row r="22" spans="2:25" ht="15.75" x14ac:dyDescent="0.25">
      <c r="K22" s="151" t="s">
        <v>4</v>
      </c>
      <c r="L22" s="152"/>
      <c r="M22" s="153"/>
      <c r="N22" s="44" t="str">
        <f t="shared" ref="N22:Y22" si="5">IF(SUM(N10:N21)&lt;1," ",SUM(N10:N21))</f>
        <v xml:space="preserve"> </v>
      </c>
      <c r="O22" s="45" t="str">
        <f t="shared" si="5"/>
        <v xml:space="preserve"> </v>
      </c>
      <c r="P22" s="45" t="str">
        <f t="shared" si="5"/>
        <v xml:space="preserve"> </v>
      </c>
      <c r="Q22" s="45" t="str">
        <f t="shared" si="5"/>
        <v xml:space="preserve"> </v>
      </c>
      <c r="R22" s="45" t="str">
        <f t="shared" si="5"/>
        <v xml:space="preserve"> </v>
      </c>
      <c r="S22" s="45" t="str">
        <f t="shared" si="5"/>
        <v xml:space="preserve"> </v>
      </c>
      <c r="T22" s="45" t="str">
        <f t="shared" si="5"/>
        <v xml:space="preserve"> </v>
      </c>
      <c r="U22" s="45" t="str">
        <f t="shared" si="5"/>
        <v xml:space="preserve"> </v>
      </c>
      <c r="V22" s="45" t="str">
        <f t="shared" si="5"/>
        <v xml:space="preserve"> </v>
      </c>
      <c r="W22" s="45" t="str">
        <f t="shared" si="5"/>
        <v xml:space="preserve"> </v>
      </c>
      <c r="X22" s="45" t="str">
        <f t="shared" si="5"/>
        <v xml:space="preserve"> </v>
      </c>
      <c r="Y22" s="46" t="str">
        <f t="shared" si="5"/>
        <v xml:space="preserve"> </v>
      </c>
    </row>
    <row r="23" spans="2:25" ht="16.5" thickBot="1" x14ac:dyDescent="0.3">
      <c r="K23" s="141" t="s">
        <v>5</v>
      </c>
      <c r="L23" s="142"/>
      <c r="M23" s="143"/>
      <c r="N23" s="120" t="e">
        <f>RANK(N22,$N22:$AL22,0)</f>
        <v>#VALUE!</v>
      </c>
      <c r="O23" s="121" t="e">
        <f t="shared" ref="O23:Y23" si="6">RANK(O22,$N22:$AL22,0)</f>
        <v>#VALUE!</v>
      </c>
      <c r="P23" s="121" t="e">
        <f t="shared" si="6"/>
        <v>#VALUE!</v>
      </c>
      <c r="Q23" s="121" t="e">
        <f t="shared" si="6"/>
        <v>#VALUE!</v>
      </c>
      <c r="R23" s="121" t="e">
        <f t="shared" si="6"/>
        <v>#VALUE!</v>
      </c>
      <c r="S23" s="121" t="e">
        <f t="shared" si="6"/>
        <v>#VALUE!</v>
      </c>
      <c r="T23" s="121" t="e">
        <f t="shared" si="6"/>
        <v>#VALUE!</v>
      </c>
      <c r="U23" s="121" t="e">
        <f t="shared" si="6"/>
        <v>#VALUE!</v>
      </c>
      <c r="V23" s="121" t="e">
        <f t="shared" si="6"/>
        <v>#VALUE!</v>
      </c>
      <c r="W23" s="121" t="e">
        <f t="shared" si="6"/>
        <v>#VALUE!</v>
      </c>
      <c r="X23" s="121" t="e">
        <f t="shared" si="6"/>
        <v>#VALUE!</v>
      </c>
      <c r="Y23" s="122" t="e">
        <f t="shared" si="6"/>
        <v>#VALUE!</v>
      </c>
    </row>
    <row r="24" spans="2:25" x14ac:dyDescent="0.2">
      <c r="N24" s="7"/>
      <c r="O24" s="7"/>
      <c r="P24" s="7"/>
      <c r="Q24" s="7"/>
    </row>
    <row r="25" spans="2:25" s="31" customFormat="1" ht="135.75" customHeight="1" x14ac:dyDescent="0.2">
      <c r="N25" s="8" t="str">
        <f>+Names!$B$2</f>
        <v>Luke</v>
      </c>
      <c r="O25" s="8" t="str">
        <f>+Names!$B$3</f>
        <v>Ro</v>
      </c>
      <c r="P25" s="8" t="str">
        <f>+Names!$B$4</f>
        <v>Caleb</v>
      </c>
      <c r="Q25" s="8" t="str">
        <f>+Names!$B$5</f>
        <v>Zau</v>
      </c>
      <c r="R25" s="8" t="str">
        <f>+Names!$B$6</f>
        <v>Brady</v>
      </c>
      <c r="S25" s="8" t="str">
        <f>+Names!$B$7</f>
        <v>Theo</v>
      </c>
      <c r="T25" s="8" t="str">
        <f>+Names!$B$8</f>
        <v>Jonathan</v>
      </c>
      <c r="U25" s="8" t="str">
        <f>+Names!$B$9</f>
        <v>Brenton</v>
      </c>
      <c r="V25" s="8" t="str">
        <f>+Names!$B$10</f>
        <v>Jospe</v>
      </c>
      <c r="W25" s="8" t="str">
        <f>+Names!$B$11</f>
        <v>Emery</v>
      </c>
      <c r="X25" s="8" t="str">
        <f>+Names!$B$12</f>
        <v>Isaac</v>
      </c>
      <c r="Y25" s="8" t="str">
        <f>+Names!$B$13</f>
        <v>Alain</v>
      </c>
    </row>
  </sheetData>
  <sheetProtection sheet="1" objects="1" scenarios="1" selectLockedCells="1"/>
  <mergeCells count="21">
    <mergeCell ref="F1:Y1"/>
    <mergeCell ref="K23:M23"/>
    <mergeCell ref="S3:U3"/>
    <mergeCell ref="S4:U4"/>
    <mergeCell ref="S5:U5"/>
    <mergeCell ref="M3:N3"/>
    <mergeCell ref="M4:N4"/>
    <mergeCell ref="M5:N5"/>
    <mergeCell ref="M6:N6"/>
    <mergeCell ref="M2:N2"/>
    <mergeCell ref="K22:M22"/>
    <mergeCell ref="N8:Y8"/>
    <mergeCell ref="R2:U2"/>
    <mergeCell ref="K8:M8"/>
    <mergeCell ref="I2:L2"/>
    <mergeCell ref="F5:G5"/>
    <mergeCell ref="F6:G6"/>
    <mergeCell ref="G8:I8"/>
    <mergeCell ref="F2:G2"/>
    <mergeCell ref="F3:G3"/>
    <mergeCell ref="F4:G4"/>
  </mergeCells>
  <phoneticPr fontId="14" type="noConversion"/>
  <conditionalFormatting sqref="F10:F21">
    <cfRule type="expression" dxfId="224" priority="31" stopIfTrue="1">
      <formula>$H$2=F10</formula>
    </cfRule>
  </conditionalFormatting>
  <conditionalFormatting sqref="G10">
    <cfRule type="expression" dxfId="223" priority="13" stopIfTrue="1">
      <formula>$K$10=1</formula>
    </cfRule>
    <cfRule type="expression" dxfId="222" priority="14" stopIfTrue="1">
      <formula>$L$10=1</formula>
    </cfRule>
    <cfRule type="expression" dxfId="221" priority="15" stopIfTrue="1">
      <formula>$M$10=1</formula>
    </cfRule>
  </conditionalFormatting>
  <conditionalFormatting sqref="G11:G21">
    <cfRule type="expression" dxfId="220" priority="16" stopIfTrue="1">
      <formula>K11=1</formula>
    </cfRule>
    <cfRule type="expression" dxfId="219" priority="17" stopIfTrue="1">
      <formula>L11=1</formula>
    </cfRule>
    <cfRule type="expression" dxfId="218" priority="18" stopIfTrue="1">
      <formula>M11=1</formula>
    </cfRule>
  </conditionalFormatting>
  <conditionalFormatting sqref="H10:H21">
    <cfRule type="expression" dxfId="217" priority="19" stopIfTrue="1">
      <formula>K10=2</formula>
    </cfRule>
    <cfRule type="expression" dxfId="216" priority="20" stopIfTrue="1">
      <formula>L10=2</formula>
    </cfRule>
    <cfRule type="expression" dxfId="215" priority="21" stopIfTrue="1">
      <formula>M10=2</formula>
    </cfRule>
  </conditionalFormatting>
  <conditionalFormatting sqref="I10:I21">
    <cfRule type="expression" dxfId="214" priority="22" stopIfTrue="1">
      <formula>K10=3</formula>
    </cfRule>
    <cfRule type="expression" dxfId="213" priority="23" stopIfTrue="1">
      <formula>L10=3</formula>
    </cfRule>
    <cfRule type="expression" dxfId="212" priority="24" stopIfTrue="1">
      <formula>M10=3</formula>
    </cfRule>
  </conditionalFormatting>
  <conditionalFormatting sqref="I3:N6">
    <cfRule type="expression" dxfId="211" priority="28" stopIfTrue="1">
      <formula>$M3="1st"</formula>
    </cfRule>
    <cfRule type="expression" dxfId="210" priority="29" stopIfTrue="1">
      <formula>$M3="2nd"</formula>
    </cfRule>
    <cfRule type="expression" dxfId="209" priority="30" stopIfTrue="1">
      <formula>$M3="3rd"</formula>
    </cfRule>
  </conditionalFormatting>
  <conditionalFormatting sqref="J10:J21">
    <cfRule type="expression" dxfId="208" priority="25" stopIfTrue="1">
      <formula>K10=4</formula>
    </cfRule>
    <cfRule type="expression" dxfId="207" priority="26" stopIfTrue="1">
      <formula>L10=4</formula>
    </cfRule>
    <cfRule type="expression" dxfId="206" priority="27" stopIfTrue="1">
      <formula>M10=4</formula>
    </cfRule>
  </conditionalFormatting>
  <conditionalFormatting sqref="N10:Y21">
    <cfRule type="cellIs" dxfId="205" priority="10" stopIfTrue="1" operator="equal">
      <formula>3</formula>
    </cfRule>
    <cfRule type="cellIs" dxfId="204" priority="11" stopIfTrue="1" operator="equal">
      <formula>2</formula>
    </cfRule>
    <cfRule type="cellIs" dxfId="203" priority="12" stopIfTrue="1" operator="equal">
      <formula>1</formula>
    </cfRule>
  </conditionalFormatting>
  <conditionalFormatting sqref="N23:Y23">
    <cfRule type="cellIs" dxfId="202" priority="1" operator="equal">
      <formula>3</formula>
    </cfRule>
    <cfRule type="cellIs" dxfId="201" priority="2" operator="equal">
      <formula>2</formula>
    </cfRule>
    <cfRule type="cellIs" dxfId="200" priority="3" operator="equal">
      <formula>1</formula>
    </cfRule>
  </conditionalFormatting>
  <pageMargins left="0.75" right="0.75" top="1" bottom="1" header="0.5" footer="0.5"/>
  <pageSetup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14"/>
  <dimension ref="B1:Z24"/>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6" width="4.7109375" customWidth="1"/>
    <col min="27" max="27" width="5.140625" customWidth="1"/>
    <col min="28" max="28" width="5.28515625" customWidth="1"/>
  </cols>
  <sheetData>
    <row r="1" spans="2:26"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25"/>
    </row>
    <row r="2" spans="2:26" s="29" customFormat="1" ht="22.5" x14ac:dyDescent="0.45">
      <c r="F2" s="133" t="s">
        <v>2</v>
      </c>
      <c r="G2" s="134"/>
      <c r="H2" s="21">
        <v>1</v>
      </c>
      <c r="I2" s="135" t="str">
        <f>+Names!$C$1</f>
        <v>Driver</v>
      </c>
      <c r="J2" s="136"/>
      <c r="K2" s="136"/>
      <c r="L2" s="137"/>
      <c r="M2" s="130" t="s">
        <v>8</v>
      </c>
      <c r="N2" s="130"/>
      <c r="R2" s="138" t="s">
        <v>12</v>
      </c>
      <c r="S2" s="139"/>
      <c r="T2" s="139"/>
      <c r="U2" s="140"/>
    </row>
    <row r="3" spans="2:26"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6"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6"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6" s="29" customFormat="1" ht="18.75" hidden="1" x14ac:dyDescent="0.3">
      <c r="E6" s="17"/>
      <c r="F6" s="128"/>
      <c r="G6" s="129"/>
      <c r="H6" s="3"/>
      <c r="I6" s="84"/>
      <c r="J6" s="85"/>
      <c r="K6" s="85"/>
      <c r="L6" s="86"/>
      <c r="M6" s="130"/>
      <c r="N6" s="130"/>
      <c r="R6"/>
      <c r="S6" s="26"/>
      <c r="T6" s="26"/>
      <c r="U6" s="26"/>
    </row>
    <row r="7" spans="2:26" ht="13.5" thickBot="1" x14ac:dyDescent="0.25">
      <c r="E7" s="28"/>
    </row>
    <row r="8" spans="2:26" s="30" customFormat="1" ht="16.5" thickBot="1" x14ac:dyDescent="0.25">
      <c r="G8" s="144" t="s">
        <v>3</v>
      </c>
      <c r="H8" s="145"/>
      <c r="I8" s="145"/>
      <c r="J8" s="83"/>
      <c r="K8" s="154" t="s">
        <v>34</v>
      </c>
      <c r="L8" s="147"/>
      <c r="M8" s="148"/>
      <c r="N8" s="144" t="s">
        <v>13</v>
      </c>
      <c r="O8" s="145"/>
      <c r="P8" s="145"/>
      <c r="Q8" s="145"/>
      <c r="R8" s="145"/>
      <c r="S8" s="145"/>
      <c r="T8" s="145"/>
      <c r="U8" s="145"/>
      <c r="V8" s="145"/>
      <c r="W8" s="145"/>
      <c r="X8" s="146"/>
    </row>
    <row r="9" spans="2:26"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7">
        <f>+Names!$A$7</f>
        <v>6</v>
      </c>
      <c r="T9" s="57">
        <f>+Names!$A$8</f>
        <v>7</v>
      </c>
      <c r="U9" s="57">
        <f>+Names!$A$9</f>
        <v>8</v>
      </c>
      <c r="V9" s="57">
        <f>+Names!$A$10</f>
        <v>9</v>
      </c>
      <c r="W9" s="57">
        <f>+Names!$A$11</f>
        <v>13</v>
      </c>
      <c r="X9" s="58">
        <f>+Names!$A$12</f>
        <v>14</v>
      </c>
    </row>
    <row r="10" spans="2:26" s="30" customFormat="1" ht="15.75" x14ac:dyDescent="0.25">
      <c r="B10" s="36">
        <v>1</v>
      </c>
      <c r="C10" s="36">
        <v>3</v>
      </c>
      <c r="D10" s="36">
        <v>6</v>
      </c>
      <c r="E10" s="36"/>
      <c r="F10" s="72">
        <v>1</v>
      </c>
      <c r="G10" s="37">
        <f t="shared" ref="G10:G20" ca="1" si="0">INDIRECT(ADDRESS(B10+1,1,,,"Names"))</f>
        <v>1</v>
      </c>
      <c r="H10" s="18">
        <f t="shared" ref="H10:H20" ca="1" si="1">INDIRECT(ADDRESS(C10+1,1,,,"Names"))</f>
        <v>3</v>
      </c>
      <c r="I10" s="38">
        <f t="shared" ref="I10:I20" ca="1" si="2">INDIRECT(ADDRESS(D10+1,1,,,"Names"))</f>
        <v>6</v>
      </c>
      <c r="J10" s="91"/>
      <c r="K10" s="49"/>
      <c r="L10" s="81"/>
      <c r="M10" s="77"/>
      <c r="N10" s="88" t="str">
        <f t="shared" ref="N10:X19"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89" t="str">
        <f t="shared" si="3"/>
        <v xml:space="preserve"> </v>
      </c>
      <c r="T10" s="89" t="str">
        <f t="shared" si="3"/>
        <v/>
      </c>
      <c r="U10" s="89" t="str">
        <f t="shared" si="3"/>
        <v/>
      </c>
      <c r="V10" s="89" t="str">
        <f t="shared" si="3"/>
        <v/>
      </c>
      <c r="W10" s="89" t="str">
        <f t="shared" si="3"/>
        <v/>
      </c>
      <c r="X10" s="90" t="str">
        <f t="shared" si="3"/>
        <v/>
      </c>
    </row>
    <row r="11" spans="2:26" s="30" customFormat="1" ht="15.75" x14ac:dyDescent="0.25">
      <c r="B11" s="36">
        <v>2</v>
      </c>
      <c r="C11" s="36">
        <v>4</v>
      </c>
      <c r="D11" s="36">
        <v>7</v>
      </c>
      <c r="E11" s="36"/>
      <c r="F11" s="73">
        <v>2</v>
      </c>
      <c r="G11" s="4">
        <f t="shared" ca="1" si="0"/>
        <v>2</v>
      </c>
      <c r="H11" s="19">
        <f t="shared" ca="1" si="1"/>
        <v>4</v>
      </c>
      <c r="I11" s="69">
        <f t="shared" ca="1" si="2"/>
        <v>7</v>
      </c>
      <c r="J11" s="92"/>
      <c r="K11" s="97"/>
      <c r="L11" s="76"/>
      <c r="M11" s="98"/>
      <c r="N11" s="32" t="str">
        <f t="shared" si="3"/>
        <v/>
      </c>
      <c r="O11" s="15" t="str">
        <f t="shared" si="3"/>
        <v xml:space="preserve"> </v>
      </c>
      <c r="P11" s="15" t="str">
        <f t="shared" si="3"/>
        <v/>
      </c>
      <c r="Q11" s="15" t="str">
        <f t="shared" si="3"/>
        <v xml:space="preserve"> </v>
      </c>
      <c r="R11" s="15" t="str">
        <f t="shared" si="3"/>
        <v/>
      </c>
      <c r="S11" s="15" t="str">
        <f t="shared" si="3"/>
        <v/>
      </c>
      <c r="T11" s="15" t="str">
        <f t="shared" si="3"/>
        <v xml:space="preserve"> </v>
      </c>
      <c r="U11" s="15" t="str">
        <f t="shared" si="3"/>
        <v/>
      </c>
      <c r="V11" s="15" t="str">
        <f t="shared" si="3"/>
        <v/>
      </c>
      <c r="W11" s="15" t="str">
        <f t="shared" si="3"/>
        <v/>
      </c>
      <c r="X11" s="5" t="str">
        <f t="shared" si="3"/>
        <v/>
      </c>
    </row>
    <row r="12" spans="2:26" s="30" customFormat="1" ht="15.75" x14ac:dyDescent="0.25">
      <c r="B12" s="36">
        <v>3</v>
      </c>
      <c r="C12" s="36">
        <v>5</v>
      </c>
      <c r="D12" s="36">
        <v>8</v>
      </c>
      <c r="E12" s="36"/>
      <c r="F12" s="73">
        <v>3</v>
      </c>
      <c r="G12" s="4">
        <f t="shared" ca="1" si="0"/>
        <v>3</v>
      </c>
      <c r="H12" s="19">
        <f t="shared" ca="1" si="1"/>
        <v>5</v>
      </c>
      <c r="I12" s="69">
        <f t="shared" ca="1" si="2"/>
        <v>8</v>
      </c>
      <c r="J12" s="92"/>
      <c r="K12" s="97"/>
      <c r="L12" s="76"/>
      <c r="M12" s="98"/>
      <c r="N12" s="32" t="str">
        <f t="shared" si="3"/>
        <v/>
      </c>
      <c r="O12" s="15" t="str">
        <f t="shared" si="3"/>
        <v/>
      </c>
      <c r="P12" s="15" t="str">
        <f t="shared" si="3"/>
        <v xml:space="preserve"> </v>
      </c>
      <c r="Q12" s="15" t="str">
        <f t="shared" si="3"/>
        <v/>
      </c>
      <c r="R12" s="15" t="str">
        <f t="shared" si="3"/>
        <v xml:space="preserve"> </v>
      </c>
      <c r="S12" s="15" t="str">
        <f t="shared" si="3"/>
        <v/>
      </c>
      <c r="T12" s="15" t="str">
        <f t="shared" si="3"/>
        <v/>
      </c>
      <c r="U12" s="15" t="str">
        <f t="shared" si="3"/>
        <v xml:space="preserve"> </v>
      </c>
      <c r="V12" s="15" t="str">
        <f t="shared" si="3"/>
        <v/>
      </c>
      <c r="W12" s="15" t="str">
        <f t="shared" si="3"/>
        <v/>
      </c>
      <c r="X12" s="5" t="str">
        <f t="shared" si="3"/>
        <v/>
      </c>
    </row>
    <row r="13" spans="2:26" s="30" customFormat="1" ht="15.75" x14ac:dyDescent="0.25">
      <c r="B13" s="36">
        <v>4</v>
      </c>
      <c r="C13" s="36">
        <v>6</v>
      </c>
      <c r="D13" s="36">
        <v>9</v>
      </c>
      <c r="E13" s="36"/>
      <c r="F13" s="73">
        <v>4</v>
      </c>
      <c r="G13" s="4">
        <f t="shared" ca="1" si="0"/>
        <v>4</v>
      </c>
      <c r="H13" s="19">
        <f t="shared" ca="1" si="1"/>
        <v>6</v>
      </c>
      <c r="I13" s="69">
        <f t="shared" ca="1" si="2"/>
        <v>9</v>
      </c>
      <c r="J13" s="92"/>
      <c r="K13" s="97"/>
      <c r="L13" s="76"/>
      <c r="M13" s="98"/>
      <c r="N13" s="32" t="str">
        <f t="shared" si="3"/>
        <v/>
      </c>
      <c r="O13" s="15" t="str">
        <f t="shared" si="3"/>
        <v/>
      </c>
      <c r="P13" s="15" t="str">
        <f t="shared" si="3"/>
        <v/>
      </c>
      <c r="Q13" s="15" t="str">
        <f t="shared" si="3"/>
        <v xml:space="preserve"> </v>
      </c>
      <c r="R13" s="15" t="str">
        <f t="shared" si="3"/>
        <v/>
      </c>
      <c r="S13" s="15" t="str">
        <f t="shared" si="3"/>
        <v xml:space="preserve"> </v>
      </c>
      <c r="T13" s="15" t="str">
        <f t="shared" si="3"/>
        <v/>
      </c>
      <c r="U13" s="15" t="str">
        <f t="shared" si="3"/>
        <v/>
      </c>
      <c r="V13" s="15" t="str">
        <f t="shared" si="3"/>
        <v xml:space="preserve"> </v>
      </c>
      <c r="W13" s="15" t="str">
        <f t="shared" si="3"/>
        <v/>
      </c>
      <c r="X13" s="5" t="str">
        <f t="shared" si="3"/>
        <v/>
      </c>
    </row>
    <row r="14" spans="2:26" s="30" customFormat="1" ht="15.75" x14ac:dyDescent="0.25">
      <c r="B14" s="36">
        <v>5</v>
      </c>
      <c r="C14" s="36">
        <v>7</v>
      </c>
      <c r="D14" s="36">
        <v>10</v>
      </c>
      <c r="E14" s="36"/>
      <c r="F14" s="73">
        <v>5</v>
      </c>
      <c r="G14" s="4">
        <f t="shared" ca="1" si="0"/>
        <v>5</v>
      </c>
      <c r="H14" s="19">
        <f t="shared" ca="1" si="1"/>
        <v>7</v>
      </c>
      <c r="I14" s="69">
        <f t="shared" ca="1" si="2"/>
        <v>13</v>
      </c>
      <c r="J14" s="92"/>
      <c r="K14" s="97"/>
      <c r="L14" s="76"/>
      <c r="M14" s="98"/>
      <c r="N14" s="32" t="str">
        <f t="shared" si="3"/>
        <v/>
      </c>
      <c r="O14" s="15" t="str">
        <f t="shared" si="3"/>
        <v/>
      </c>
      <c r="P14" s="15" t="str">
        <f t="shared" si="3"/>
        <v/>
      </c>
      <c r="Q14" s="15" t="str">
        <f t="shared" si="3"/>
        <v/>
      </c>
      <c r="R14" s="15" t="str">
        <f t="shared" si="3"/>
        <v xml:space="preserve"> </v>
      </c>
      <c r="S14" s="15" t="str">
        <f t="shared" si="3"/>
        <v/>
      </c>
      <c r="T14" s="15" t="str">
        <f t="shared" si="3"/>
        <v xml:space="preserve"> </v>
      </c>
      <c r="U14" s="15" t="str">
        <f t="shared" si="3"/>
        <v/>
      </c>
      <c r="V14" s="15" t="str">
        <f t="shared" si="3"/>
        <v/>
      </c>
      <c r="W14" s="15" t="str">
        <f t="shared" si="3"/>
        <v xml:space="preserve"> </v>
      </c>
      <c r="X14" s="5" t="str">
        <f t="shared" si="3"/>
        <v/>
      </c>
    </row>
    <row r="15" spans="2:26" s="30" customFormat="1" ht="15.75" x14ac:dyDescent="0.25">
      <c r="B15" s="36">
        <v>6</v>
      </c>
      <c r="C15" s="36">
        <v>8</v>
      </c>
      <c r="D15" s="36">
        <v>11</v>
      </c>
      <c r="E15" s="36"/>
      <c r="F15" s="73">
        <v>6</v>
      </c>
      <c r="G15" s="4">
        <f t="shared" ca="1" si="0"/>
        <v>6</v>
      </c>
      <c r="H15" s="19">
        <f t="shared" ca="1" si="1"/>
        <v>8</v>
      </c>
      <c r="I15" s="69">
        <f t="shared" ca="1" si="2"/>
        <v>14</v>
      </c>
      <c r="J15" s="92"/>
      <c r="K15" s="97"/>
      <c r="L15" s="76"/>
      <c r="M15" s="98"/>
      <c r="N15" s="32" t="str">
        <f t="shared" si="3"/>
        <v/>
      </c>
      <c r="O15" s="15" t="str">
        <f t="shared" si="3"/>
        <v/>
      </c>
      <c r="P15" s="15" t="str">
        <f t="shared" si="3"/>
        <v/>
      </c>
      <c r="Q15" s="15" t="str">
        <f t="shared" si="3"/>
        <v/>
      </c>
      <c r="R15" s="15" t="str">
        <f t="shared" si="3"/>
        <v/>
      </c>
      <c r="S15" s="15" t="str">
        <f t="shared" si="3"/>
        <v xml:space="preserve"> </v>
      </c>
      <c r="T15" s="15" t="str">
        <f t="shared" si="3"/>
        <v/>
      </c>
      <c r="U15" s="15" t="str">
        <f t="shared" si="3"/>
        <v xml:space="preserve"> </v>
      </c>
      <c r="V15" s="15" t="str">
        <f t="shared" si="3"/>
        <v/>
      </c>
      <c r="W15" s="15" t="str">
        <f t="shared" si="3"/>
        <v/>
      </c>
      <c r="X15" s="5" t="str">
        <f t="shared" si="3"/>
        <v xml:space="preserve"> </v>
      </c>
    </row>
    <row r="16" spans="2:26" s="30" customFormat="1" ht="15.75" x14ac:dyDescent="0.25">
      <c r="B16" s="36">
        <v>7</v>
      </c>
      <c r="C16" s="36">
        <v>9</v>
      </c>
      <c r="D16" s="36">
        <v>1</v>
      </c>
      <c r="E16" s="36"/>
      <c r="F16" s="73">
        <v>7</v>
      </c>
      <c r="G16" s="4">
        <f t="shared" ca="1" si="0"/>
        <v>7</v>
      </c>
      <c r="H16" s="19">
        <f t="shared" ca="1" si="1"/>
        <v>9</v>
      </c>
      <c r="I16" s="69">
        <f t="shared" ca="1" si="2"/>
        <v>1</v>
      </c>
      <c r="J16" s="92"/>
      <c r="K16" s="97"/>
      <c r="L16" s="76"/>
      <c r="M16" s="98"/>
      <c r="N16" s="32" t="str">
        <f t="shared" si="3"/>
        <v xml:space="preserve"> </v>
      </c>
      <c r="O16" s="15" t="str">
        <f t="shared" si="3"/>
        <v/>
      </c>
      <c r="P16" s="15" t="str">
        <f t="shared" si="3"/>
        <v/>
      </c>
      <c r="Q16" s="15" t="str">
        <f t="shared" si="3"/>
        <v/>
      </c>
      <c r="R16" s="15" t="str">
        <f t="shared" si="3"/>
        <v/>
      </c>
      <c r="S16" s="15" t="str">
        <f t="shared" si="3"/>
        <v/>
      </c>
      <c r="T16" s="15" t="str">
        <f t="shared" si="3"/>
        <v xml:space="preserve"> </v>
      </c>
      <c r="U16" s="15" t="str">
        <f t="shared" si="3"/>
        <v/>
      </c>
      <c r="V16" s="15" t="str">
        <f t="shared" si="3"/>
        <v xml:space="preserve"> </v>
      </c>
      <c r="W16" s="15" t="str">
        <f t="shared" si="3"/>
        <v/>
      </c>
      <c r="X16" s="5" t="str">
        <f t="shared" si="3"/>
        <v/>
      </c>
    </row>
    <row r="17" spans="2:24" s="30" customFormat="1" ht="15.75" x14ac:dyDescent="0.25">
      <c r="B17" s="36">
        <v>8</v>
      </c>
      <c r="C17" s="36">
        <v>10</v>
      </c>
      <c r="D17" s="36">
        <v>2</v>
      </c>
      <c r="E17" s="36"/>
      <c r="F17" s="73">
        <v>8</v>
      </c>
      <c r="G17" s="4">
        <f t="shared" ca="1" si="0"/>
        <v>8</v>
      </c>
      <c r="H17" s="19">
        <f t="shared" ca="1" si="1"/>
        <v>13</v>
      </c>
      <c r="I17" s="69">
        <f t="shared" ca="1" si="2"/>
        <v>2</v>
      </c>
      <c r="J17" s="92"/>
      <c r="K17" s="97"/>
      <c r="L17" s="76"/>
      <c r="M17" s="98"/>
      <c r="N17" s="32" t="str">
        <f t="shared" si="3"/>
        <v/>
      </c>
      <c r="O17" s="15" t="str">
        <f t="shared" si="3"/>
        <v xml:space="preserve"> </v>
      </c>
      <c r="P17" s="15" t="str">
        <f t="shared" si="3"/>
        <v/>
      </c>
      <c r="Q17" s="15" t="str">
        <f t="shared" si="3"/>
        <v/>
      </c>
      <c r="R17" s="15" t="str">
        <f t="shared" si="3"/>
        <v/>
      </c>
      <c r="S17" s="15" t="str">
        <f t="shared" si="3"/>
        <v/>
      </c>
      <c r="T17" s="15" t="str">
        <f t="shared" si="3"/>
        <v/>
      </c>
      <c r="U17" s="15" t="str">
        <f t="shared" si="3"/>
        <v xml:space="preserve"> </v>
      </c>
      <c r="V17" s="15" t="str">
        <f t="shared" si="3"/>
        <v/>
      </c>
      <c r="W17" s="15" t="str">
        <f t="shared" si="3"/>
        <v xml:space="preserve"> </v>
      </c>
      <c r="X17" s="5" t="str">
        <f t="shared" si="3"/>
        <v/>
      </c>
    </row>
    <row r="18" spans="2:24" s="30" customFormat="1" ht="15.75" x14ac:dyDescent="0.25">
      <c r="B18" s="36">
        <v>9</v>
      </c>
      <c r="C18" s="36">
        <v>11</v>
      </c>
      <c r="D18" s="36">
        <v>3</v>
      </c>
      <c r="E18" s="36"/>
      <c r="F18" s="73">
        <v>9</v>
      </c>
      <c r="G18" s="4">
        <f t="shared" ca="1" si="0"/>
        <v>9</v>
      </c>
      <c r="H18" s="19">
        <f t="shared" ca="1" si="1"/>
        <v>14</v>
      </c>
      <c r="I18" s="69">
        <f t="shared" ca="1" si="2"/>
        <v>3</v>
      </c>
      <c r="J18" s="92"/>
      <c r="K18" s="97"/>
      <c r="L18" s="76"/>
      <c r="M18" s="98"/>
      <c r="N18" s="32" t="str">
        <f t="shared" si="3"/>
        <v/>
      </c>
      <c r="O18" s="15" t="str">
        <f t="shared" si="3"/>
        <v/>
      </c>
      <c r="P18" s="15" t="str">
        <f t="shared" si="3"/>
        <v xml:space="preserve"> </v>
      </c>
      <c r="Q18" s="15" t="str">
        <f t="shared" si="3"/>
        <v/>
      </c>
      <c r="R18" s="15" t="str">
        <f t="shared" si="3"/>
        <v/>
      </c>
      <c r="S18" s="15" t="str">
        <f t="shared" si="3"/>
        <v/>
      </c>
      <c r="T18" s="15" t="str">
        <f t="shared" si="3"/>
        <v/>
      </c>
      <c r="U18" s="15" t="str">
        <f t="shared" si="3"/>
        <v/>
      </c>
      <c r="V18" s="15" t="str">
        <f t="shared" si="3"/>
        <v xml:space="preserve"> </v>
      </c>
      <c r="W18" s="15" t="str">
        <f t="shared" si="3"/>
        <v/>
      </c>
      <c r="X18" s="5" t="str">
        <f t="shared" si="3"/>
        <v xml:space="preserve"> </v>
      </c>
    </row>
    <row r="19" spans="2:24" s="30" customFormat="1" ht="15.75" x14ac:dyDescent="0.25">
      <c r="B19" s="36">
        <v>10</v>
      </c>
      <c r="C19" s="36">
        <v>1</v>
      </c>
      <c r="D19" s="36">
        <v>4</v>
      </c>
      <c r="E19" s="36"/>
      <c r="F19" s="73">
        <v>10</v>
      </c>
      <c r="G19" s="4">
        <f t="shared" ca="1" si="0"/>
        <v>13</v>
      </c>
      <c r="H19" s="19">
        <f t="shared" ca="1" si="1"/>
        <v>1</v>
      </c>
      <c r="I19" s="69">
        <f t="shared" ca="1" si="2"/>
        <v>4</v>
      </c>
      <c r="J19" s="92"/>
      <c r="K19" s="97"/>
      <c r="L19" s="76"/>
      <c r="M19" s="98"/>
      <c r="N19" s="32" t="str">
        <f t="shared" si="3"/>
        <v xml:space="preserve"> </v>
      </c>
      <c r="O19" s="15" t="str">
        <f t="shared" si="3"/>
        <v/>
      </c>
      <c r="P19" s="15" t="str">
        <f t="shared" si="3"/>
        <v/>
      </c>
      <c r="Q19" s="15" t="str">
        <f t="shared" si="3"/>
        <v xml:space="preserve"> </v>
      </c>
      <c r="R19" s="15" t="str">
        <f t="shared" si="3"/>
        <v/>
      </c>
      <c r="S19" s="15" t="str">
        <f t="shared" si="3"/>
        <v/>
      </c>
      <c r="T19" s="15" t="str">
        <f t="shared" si="3"/>
        <v/>
      </c>
      <c r="U19" s="15" t="str">
        <f t="shared" si="3"/>
        <v/>
      </c>
      <c r="V19" s="15" t="str">
        <f t="shared" si="3"/>
        <v/>
      </c>
      <c r="W19" s="15" t="str">
        <f t="shared" si="3"/>
        <v xml:space="preserve"> </v>
      </c>
      <c r="X19" s="5" t="str">
        <f t="shared" si="3"/>
        <v/>
      </c>
    </row>
    <row r="20" spans="2:24" s="30" customFormat="1" ht="16.5" thickBot="1" x14ac:dyDescent="0.3">
      <c r="B20" s="36">
        <v>11</v>
      </c>
      <c r="C20" s="36">
        <v>2</v>
      </c>
      <c r="D20" s="36">
        <v>5</v>
      </c>
      <c r="E20" s="36"/>
      <c r="F20" s="74">
        <v>11</v>
      </c>
      <c r="G20" s="6">
        <f t="shared" ca="1" si="0"/>
        <v>14</v>
      </c>
      <c r="H20" s="39">
        <f t="shared" ca="1" si="1"/>
        <v>2</v>
      </c>
      <c r="I20" s="40">
        <f t="shared" ca="1" si="2"/>
        <v>5</v>
      </c>
      <c r="J20" s="93"/>
      <c r="K20" s="99"/>
      <c r="L20" s="100"/>
      <c r="M20" s="101"/>
      <c r="N20" s="20" t="str">
        <f>IF(ISNA(MATCH(COLUMN()-13,$B20:$E20,0)),"",IF($K20=MATCH(COLUMN()-13,$B20:$E20,0),3,IF($L20=MATCH(COLUMN()-13,$B20:$E20,0),2,IF($M20=MATCH(COLUMN()-13,$B20:$E20,0),1,""))))</f>
        <v/>
      </c>
      <c r="O20" s="16" t="str">
        <f t="shared" ref="O20:X20" si="4">IF(ISNA(MATCH(COLUMN()-13,$B20:$E20,0)),"",IF($K20=MATCH(COLUMN()-13,$B20:$E20,0),3,IF($L20=MATCH(COLUMN()-13,$B20:$E20,0),2,IF($M20=MATCH(COLUMN()-13,$B20:$E20,0),1," "))))</f>
        <v xml:space="preserve"> </v>
      </c>
      <c r="P20" s="16" t="str">
        <f t="shared" si="4"/>
        <v/>
      </c>
      <c r="Q20" s="16" t="str">
        <f t="shared" si="4"/>
        <v/>
      </c>
      <c r="R20" s="16" t="str">
        <f t="shared" si="4"/>
        <v xml:space="preserve"> </v>
      </c>
      <c r="S20" s="16" t="str">
        <f t="shared" si="4"/>
        <v/>
      </c>
      <c r="T20" s="16" t="str">
        <f t="shared" si="4"/>
        <v/>
      </c>
      <c r="U20" s="16" t="str">
        <f t="shared" si="4"/>
        <v/>
      </c>
      <c r="V20" s="16" t="str">
        <f t="shared" si="4"/>
        <v/>
      </c>
      <c r="W20" s="16" t="str">
        <f t="shared" si="4"/>
        <v/>
      </c>
      <c r="X20" s="43" t="str">
        <f t="shared" si="4"/>
        <v xml:space="preserve"> </v>
      </c>
    </row>
    <row r="21" spans="2:24" ht="15.75" x14ac:dyDescent="0.25">
      <c r="K21" s="156" t="s">
        <v>4</v>
      </c>
      <c r="L21" s="157"/>
      <c r="M21" s="158"/>
      <c r="N21" s="44" t="str">
        <f t="shared" ref="N21:X21" si="5">IF(SUM(N10:N20)&lt;1," ",SUM(N10:N20))</f>
        <v xml:space="preserve"> </v>
      </c>
      <c r="O21" s="45" t="str">
        <f t="shared" si="5"/>
        <v xml:space="preserve"> </v>
      </c>
      <c r="P21" s="45" t="str">
        <f t="shared" si="5"/>
        <v xml:space="preserve"> </v>
      </c>
      <c r="Q21" s="45" t="str">
        <f t="shared" si="5"/>
        <v xml:space="preserve"> </v>
      </c>
      <c r="R21" s="45" t="str">
        <f t="shared" si="5"/>
        <v xml:space="preserve"> </v>
      </c>
      <c r="S21" s="45" t="str">
        <f t="shared" si="5"/>
        <v xml:space="preserve"> </v>
      </c>
      <c r="T21" s="45" t="str">
        <f t="shared" si="5"/>
        <v xml:space="preserve"> </v>
      </c>
      <c r="U21" s="45" t="str">
        <f t="shared" si="5"/>
        <v xml:space="preserve"> </v>
      </c>
      <c r="V21" s="45" t="str">
        <f t="shared" si="5"/>
        <v xml:space="preserve"> </v>
      </c>
      <c r="W21" s="45" t="str">
        <f t="shared" si="5"/>
        <v xml:space="preserve"> </v>
      </c>
      <c r="X21" s="46" t="str">
        <f t="shared" si="5"/>
        <v xml:space="preserve"> </v>
      </c>
    </row>
    <row r="22" spans="2:24" ht="16.5" thickBot="1" x14ac:dyDescent="0.3">
      <c r="K22" s="141" t="s">
        <v>5</v>
      </c>
      <c r="L22" s="142"/>
      <c r="M22" s="143"/>
      <c r="N22" s="120" t="e">
        <f>RANK(N21,$N21:$AL21,0)</f>
        <v>#VALUE!</v>
      </c>
      <c r="O22" s="121" t="e">
        <f t="shared" ref="O22:X22" si="6">RANK(O21,$N21:$AL21,0)</f>
        <v>#VALUE!</v>
      </c>
      <c r="P22" s="121" t="e">
        <f t="shared" si="6"/>
        <v>#VALUE!</v>
      </c>
      <c r="Q22" s="121" t="e">
        <f t="shared" si="6"/>
        <v>#VALUE!</v>
      </c>
      <c r="R22" s="121" t="e">
        <f t="shared" si="6"/>
        <v>#VALUE!</v>
      </c>
      <c r="S22" s="121" t="e">
        <f t="shared" si="6"/>
        <v>#VALUE!</v>
      </c>
      <c r="T22" s="121" t="e">
        <f t="shared" si="6"/>
        <v>#VALUE!</v>
      </c>
      <c r="U22" s="121" t="e">
        <f t="shared" si="6"/>
        <v>#VALUE!</v>
      </c>
      <c r="V22" s="121" t="e">
        <f t="shared" si="6"/>
        <v>#VALUE!</v>
      </c>
      <c r="W22" s="121" t="e">
        <f t="shared" si="6"/>
        <v>#VALUE!</v>
      </c>
      <c r="X22" s="122" t="e">
        <f t="shared" si="6"/>
        <v>#VALUE!</v>
      </c>
    </row>
    <row r="23" spans="2:24" x14ac:dyDescent="0.2">
      <c r="N23" s="7"/>
      <c r="O23" s="7"/>
      <c r="P23" s="7"/>
      <c r="Q23" s="7"/>
    </row>
    <row r="24" spans="2:24" s="31" customFormat="1" ht="135.75" customHeight="1" x14ac:dyDescent="0.2">
      <c r="N24" s="8" t="str">
        <f>+Names!$B$2</f>
        <v>Luke</v>
      </c>
      <c r="O24" s="8" t="str">
        <f>+Names!$B$3</f>
        <v>Ro</v>
      </c>
      <c r="P24" s="8" t="str">
        <f>+Names!$B$4</f>
        <v>Caleb</v>
      </c>
      <c r="Q24" s="8" t="str">
        <f>+Names!$B$5</f>
        <v>Zau</v>
      </c>
      <c r="R24" s="8" t="str">
        <f>+Names!$B$6</f>
        <v>Brady</v>
      </c>
      <c r="S24" s="8" t="str">
        <f>+Names!$B$7</f>
        <v>Theo</v>
      </c>
      <c r="T24" s="8" t="str">
        <f>+Names!$B$8</f>
        <v>Jonathan</v>
      </c>
      <c r="U24" s="8" t="str">
        <f>+Names!$B$9</f>
        <v>Brenton</v>
      </c>
      <c r="V24" s="8" t="str">
        <f>+Names!$B$10</f>
        <v>Jospe</v>
      </c>
      <c r="W24" s="8" t="str">
        <f>+Names!$B$11</f>
        <v>Emery</v>
      </c>
      <c r="X24" s="8" t="str">
        <f>+Names!$B$12</f>
        <v>Isaac</v>
      </c>
    </row>
  </sheetData>
  <sheetProtection sheet="1" objects="1" scenarios="1" selectLockedCells="1"/>
  <mergeCells count="21">
    <mergeCell ref="F1:Y1"/>
    <mergeCell ref="K22:M22"/>
    <mergeCell ref="S3:U3"/>
    <mergeCell ref="S4:U4"/>
    <mergeCell ref="S5:U5"/>
    <mergeCell ref="M3:N3"/>
    <mergeCell ref="M4:N4"/>
    <mergeCell ref="M5:N5"/>
    <mergeCell ref="M6:N6"/>
    <mergeCell ref="M2:N2"/>
    <mergeCell ref="K21:M21"/>
    <mergeCell ref="N8:X8"/>
    <mergeCell ref="R2:U2"/>
    <mergeCell ref="K8:M8"/>
    <mergeCell ref="I2:L2"/>
    <mergeCell ref="F5:G5"/>
    <mergeCell ref="F6:G6"/>
    <mergeCell ref="G8:I8"/>
    <mergeCell ref="F2:G2"/>
    <mergeCell ref="F3:G3"/>
    <mergeCell ref="F4:G4"/>
  </mergeCells>
  <phoneticPr fontId="14" type="noConversion"/>
  <conditionalFormatting sqref="F10:F20">
    <cfRule type="expression" dxfId="199" priority="31" stopIfTrue="1">
      <formula>$H$2=F10</formula>
    </cfRule>
  </conditionalFormatting>
  <conditionalFormatting sqref="G10">
    <cfRule type="expression" dxfId="198" priority="13" stopIfTrue="1">
      <formula>$K$10=1</formula>
    </cfRule>
    <cfRule type="expression" dxfId="197" priority="14" stopIfTrue="1">
      <formula>$L$10=1</formula>
    </cfRule>
    <cfRule type="expression" dxfId="196" priority="15" stopIfTrue="1">
      <formula>$M$10=1</formula>
    </cfRule>
  </conditionalFormatting>
  <conditionalFormatting sqref="G11:G20">
    <cfRule type="expression" dxfId="195" priority="16" stopIfTrue="1">
      <formula>K11=1</formula>
    </cfRule>
    <cfRule type="expression" dxfId="194" priority="17" stopIfTrue="1">
      <formula>L11=1</formula>
    </cfRule>
    <cfRule type="expression" dxfId="193" priority="18" stopIfTrue="1">
      <formula>M11=1</formula>
    </cfRule>
  </conditionalFormatting>
  <conditionalFormatting sqref="H10:H20">
    <cfRule type="expression" dxfId="192" priority="19" stopIfTrue="1">
      <formula>K10=2</formula>
    </cfRule>
    <cfRule type="expression" dxfId="191" priority="20" stopIfTrue="1">
      <formula>L10=2</formula>
    </cfRule>
    <cfRule type="expression" dxfId="190" priority="21" stopIfTrue="1">
      <formula>M10=2</formula>
    </cfRule>
  </conditionalFormatting>
  <conditionalFormatting sqref="I10:I20">
    <cfRule type="expression" dxfId="189" priority="22" stopIfTrue="1">
      <formula>K10=3</formula>
    </cfRule>
    <cfRule type="expression" dxfId="188" priority="23" stopIfTrue="1">
      <formula>L10=3</formula>
    </cfRule>
    <cfRule type="expression" dxfId="187" priority="24" stopIfTrue="1">
      <formula>M10=3</formula>
    </cfRule>
  </conditionalFormatting>
  <conditionalFormatting sqref="I3:N6">
    <cfRule type="expression" dxfId="186" priority="28" stopIfTrue="1">
      <formula>$M3="1st"</formula>
    </cfRule>
    <cfRule type="expression" dxfId="185" priority="29" stopIfTrue="1">
      <formula>$M3="2nd"</formula>
    </cfRule>
    <cfRule type="expression" dxfId="184" priority="30" stopIfTrue="1">
      <formula>$M3="3rd"</formula>
    </cfRule>
  </conditionalFormatting>
  <conditionalFormatting sqref="J10:J20">
    <cfRule type="expression" dxfId="183" priority="25" stopIfTrue="1">
      <formula>K10=4</formula>
    </cfRule>
    <cfRule type="expression" dxfId="182" priority="26" stopIfTrue="1">
      <formula>L10=4</formula>
    </cfRule>
    <cfRule type="expression" dxfId="181" priority="27" stopIfTrue="1">
      <formula>M10=4</formula>
    </cfRule>
  </conditionalFormatting>
  <conditionalFormatting sqref="N10:X20">
    <cfRule type="cellIs" dxfId="180" priority="10" stopIfTrue="1" operator="equal">
      <formula>3</formula>
    </cfRule>
    <cfRule type="cellIs" dxfId="179" priority="11" stopIfTrue="1" operator="equal">
      <formula>2</formula>
    </cfRule>
    <cfRule type="cellIs" dxfId="178" priority="12" stopIfTrue="1" operator="equal">
      <formula>1</formula>
    </cfRule>
  </conditionalFormatting>
  <conditionalFormatting sqref="N22:X22">
    <cfRule type="cellIs" dxfId="177" priority="1" operator="equal">
      <formula>3</formula>
    </cfRule>
    <cfRule type="cellIs" dxfId="176" priority="2" operator="equal">
      <formula>2</formula>
    </cfRule>
    <cfRule type="cellIs" dxfId="175" priority="3" operator="equal">
      <formula>1</formula>
    </cfRule>
  </conditionalFormatting>
  <pageMargins left="0.75" right="0.75" top="1" bottom="1" header="0.5" footer="0.5"/>
  <pageSetup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15"/>
  <dimension ref="B1:Y23"/>
  <sheetViews>
    <sheetView showGridLines="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5" width="4.7109375" customWidth="1"/>
    <col min="26" max="26" width="5.140625" customWidth="1"/>
    <col min="27" max="27" width="5.28515625" customWidth="1"/>
  </cols>
  <sheetData>
    <row r="1" spans="2:25"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row>
    <row r="2" spans="2:25" s="29" customFormat="1" ht="22.5" x14ac:dyDescent="0.45">
      <c r="F2" s="133" t="s">
        <v>2</v>
      </c>
      <c r="G2" s="134"/>
      <c r="H2" s="21">
        <v>1</v>
      </c>
      <c r="I2" s="135" t="str">
        <f>+Names!$C$1</f>
        <v>Driver</v>
      </c>
      <c r="J2" s="136"/>
      <c r="K2" s="136"/>
      <c r="L2" s="137"/>
      <c r="M2" s="130" t="s">
        <v>8</v>
      </c>
      <c r="N2" s="130"/>
      <c r="R2" s="138" t="s">
        <v>12</v>
      </c>
      <c r="S2" s="139"/>
      <c r="T2" s="139"/>
      <c r="U2" s="140"/>
    </row>
    <row r="3" spans="2:25"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5"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5" s="29" customFormat="1" ht="18.75" x14ac:dyDescent="0.3">
      <c r="E5" s="17"/>
      <c r="F5" s="128" t="s">
        <v>6</v>
      </c>
      <c r="G5" s="129"/>
      <c r="H5" s="3">
        <f ca="1">INDIRECT(ADDRESS(INDIRECT(ADDRESS($H$2+9,4))+1,1,,,"Names"))</f>
        <v>13</v>
      </c>
      <c r="I5" s="84" t="str">
        <f ca="1">INDIRECT(ADDRESS(INDIRECT(ADDRESS($H$2+9,4))+1,2,,,"Names"))</f>
        <v>Emery</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5" s="29" customFormat="1" ht="18.75" hidden="1" x14ac:dyDescent="0.3">
      <c r="E6" s="17"/>
      <c r="F6" s="128"/>
      <c r="G6" s="129"/>
      <c r="H6" s="3"/>
      <c r="I6" s="84"/>
      <c r="J6" s="85"/>
      <c r="K6" s="85"/>
      <c r="L6" s="86"/>
      <c r="M6" s="130"/>
      <c r="N6" s="130"/>
      <c r="R6"/>
      <c r="S6" s="26"/>
      <c r="T6" s="26"/>
      <c r="U6" s="26"/>
    </row>
    <row r="7" spans="2:25" ht="13.5" thickBot="1" x14ac:dyDescent="0.25">
      <c r="E7" s="28"/>
    </row>
    <row r="8" spans="2:25" s="30" customFormat="1" ht="16.5" thickBot="1" x14ac:dyDescent="0.25">
      <c r="G8" s="144" t="s">
        <v>3</v>
      </c>
      <c r="H8" s="145"/>
      <c r="I8" s="145"/>
      <c r="J8" s="83"/>
      <c r="K8" s="154" t="s">
        <v>34</v>
      </c>
      <c r="L8" s="147"/>
      <c r="M8" s="148"/>
      <c r="N8" s="144" t="s">
        <v>13</v>
      </c>
      <c r="O8" s="145"/>
      <c r="P8" s="145"/>
      <c r="Q8" s="145"/>
      <c r="R8" s="145"/>
      <c r="S8" s="145"/>
      <c r="T8" s="145"/>
      <c r="U8" s="145"/>
      <c r="V8" s="145"/>
      <c r="W8" s="146"/>
    </row>
    <row r="9" spans="2:25"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7">
        <f>+Names!$A$7</f>
        <v>6</v>
      </c>
      <c r="T9" s="57">
        <f>+Names!$A$8</f>
        <v>7</v>
      </c>
      <c r="U9" s="57">
        <f>+Names!$A$9</f>
        <v>8</v>
      </c>
      <c r="V9" s="57">
        <f>+Names!$A$10</f>
        <v>9</v>
      </c>
      <c r="W9" s="58">
        <f>+Names!$A$11</f>
        <v>13</v>
      </c>
    </row>
    <row r="10" spans="2:25" s="30" customFormat="1" ht="15.75" x14ac:dyDescent="0.25">
      <c r="B10" s="36">
        <v>1</v>
      </c>
      <c r="C10" s="36">
        <v>3</v>
      </c>
      <c r="D10" s="36">
        <v>10</v>
      </c>
      <c r="E10" s="36"/>
      <c r="F10" s="72">
        <v>1</v>
      </c>
      <c r="G10" s="37">
        <f t="shared" ref="G10:G19" ca="1" si="0">INDIRECT(ADDRESS(B10+1,1,,,"Names"))</f>
        <v>1</v>
      </c>
      <c r="H10" s="18">
        <f t="shared" ref="H10:H19" ca="1" si="1">INDIRECT(ADDRESS(C10+1,1,,,"Names"))</f>
        <v>3</v>
      </c>
      <c r="I10" s="38">
        <f t="shared" ref="I10:I19" ca="1" si="2">INDIRECT(ADDRESS(D10+1,1,,,"Names"))</f>
        <v>13</v>
      </c>
      <c r="J10" s="91"/>
      <c r="K10" s="49"/>
      <c r="L10" s="81"/>
      <c r="M10" s="77"/>
      <c r="N10" s="88" t="str">
        <f t="shared" ref="N10:W19"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89" t="str">
        <f t="shared" si="3"/>
        <v/>
      </c>
      <c r="T10" s="89" t="str">
        <f t="shared" si="3"/>
        <v/>
      </c>
      <c r="U10" s="89" t="str">
        <f t="shared" si="3"/>
        <v/>
      </c>
      <c r="V10" s="89" t="str">
        <f t="shared" si="3"/>
        <v/>
      </c>
      <c r="W10" s="90" t="str">
        <f t="shared" si="3"/>
        <v xml:space="preserve"> </v>
      </c>
    </row>
    <row r="11" spans="2:25" s="30" customFormat="1" ht="15.75" x14ac:dyDescent="0.25">
      <c r="B11" s="36">
        <v>5</v>
      </c>
      <c r="C11" s="36">
        <v>7</v>
      </c>
      <c r="D11" s="36">
        <v>4</v>
      </c>
      <c r="E11" s="36"/>
      <c r="F11" s="73">
        <v>2</v>
      </c>
      <c r="G11" s="4">
        <f t="shared" ca="1" si="0"/>
        <v>5</v>
      </c>
      <c r="H11" s="19">
        <f t="shared" ca="1" si="1"/>
        <v>7</v>
      </c>
      <c r="I11" s="69">
        <f t="shared" ca="1" si="2"/>
        <v>4</v>
      </c>
      <c r="J11" s="92"/>
      <c r="K11" s="97"/>
      <c r="L11" s="76"/>
      <c r="M11" s="98"/>
      <c r="N11" s="32" t="str">
        <f t="shared" si="3"/>
        <v/>
      </c>
      <c r="O11" s="15" t="str">
        <f t="shared" si="3"/>
        <v/>
      </c>
      <c r="P11" s="15" t="str">
        <f t="shared" si="3"/>
        <v/>
      </c>
      <c r="Q11" s="15" t="str">
        <f t="shared" si="3"/>
        <v xml:space="preserve"> </v>
      </c>
      <c r="R11" s="15" t="str">
        <f t="shared" si="3"/>
        <v xml:space="preserve"> </v>
      </c>
      <c r="S11" s="15" t="str">
        <f t="shared" si="3"/>
        <v/>
      </c>
      <c r="T11" s="15" t="str">
        <f t="shared" si="3"/>
        <v xml:space="preserve"> </v>
      </c>
      <c r="U11" s="15" t="str">
        <f t="shared" si="3"/>
        <v/>
      </c>
      <c r="V11" s="15" t="str">
        <f t="shared" si="3"/>
        <v/>
      </c>
      <c r="W11" s="5" t="str">
        <f t="shared" si="3"/>
        <v/>
      </c>
    </row>
    <row r="12" spans="2:25" s="30" customFormat="1" ht="15.75" x14ac:dyDescent="0.25">
      <c r="B12" s="36">
        <v>9</v>
      </c>
      <c r="C12" s="36">
        <v>1</v>
      </c>
      <c r="D12" s="36">
        <v>8</v>
      </c>
      <c r="E12" s="36"/>
      <c r="F12" s="73">
        <v>3</v>
      </c>
      <c r="G12" s="4">
        <f t="shared" ca="1" si="0"/>
        <v>9</v>
      </c>
      <c r="H12" s="19">
        <f t="shared" ca="1" si="1"/>
        <v>1</v>
      </c>
      <c r="I12" s="69">
        <f t="shared" ca="1" si="2"/>
        <v>8</v>
      </c>
      <c r="J12" s="92"/>
      <c r="K12" s="97"/>
      <c r="L12" s="76"/>
      <c r="M12" s="98"/>
      <c r="N12" s="32" t="str">
        <f t="shared" si="3"/>
        <v xml:space="preserve"> </v>
      </c>
      <c r="O12" s="15" t="str">
        <f t="shared" si="3"/>
        <v/>
      </c>
      <c r="P12" s="15" t="str">
        <f t="shared" si="3"/>
        <v/>
      </c>
      <c r="Q12" s="15" t="str">
        <f t="shared" si="3"/>
        <v/>
      </c>
      <c r="R12" s="15" t="str">
        <f t="shared" si="3"/>
        <v/>
      </c>
      <c r="S12" s="15" t="str">
        <f t="shared" si="3"/>
        <v/>
      </c>
      <c r="T12" s="15" t="str">
        <f t="shared" si="3"/>
        <v/>
      </c>
      <c r="U12" s="15" t="str">
        <f t="shared" si="3"/>
        <v xml:space="preserve"> </v>
      </c>
      <c r="V12" s="15" t="str">
        <f t="shared" si="3"/>
        <v xml:space="preserve"> </v>
      </c>
      <c r="W12" s="5" t="str">
        <f t="shared" si="3"/>
        <v/>
      </c>
    </row>
    <row r="13" spans="2:25" s="30" customFormat="1" ht="15.75" x14ac:dyDescent="0.25">
      <c r="B13" s="36">
        <v>3</v>
      </c>
      <c r="C13" s="36">
        <v>5</v>
      </c>
      <c r="D13" s="36">
        <v>2</v>
      </c>
      <c r="E13" s="36"/>
      <c r="F13" s="73">
        <v>4</v>
      </c>
      <c r="G13" s="4">
        <f t="shared" ca="1" si="0"/>
        <v>3</v>
      </c>
      <c r="H13" s="19">
        <f t="shared" ca="1" si="1"/>
        <v>5</v>
      </c>
      <c r="I13" s="69">
        <f t="shared" ca="1" si="2"/>
        <v>2</v>
      </c>
      <c r="J13" s="92"/>
      <c r="K13" s="97"/>
      <c r="L13" s="76"/>
      <c r="M13" s="98"/>
      <c r="N13" s="32" t="str">
        <f t="shared" si="3"/>
        <v/>
      </c>
      <c r="O13" s="15" t="str">
        <f t="shared" si="3"/>
        <v xml:space="preserve"> </v>
      </c>
      <c r="P13" s="15" t="str">
        <f t="shared" si="3"/>
        <v xml:space="preserve"> </v>
      </c>
      <c r="Q13" s="15" t="str">
        <f t="shared" si="3"/>
        <v/>
      </c>
      <c r="R13" s="15" t="str">
        <f t="shared" si="3"/>
        <v xml:space="preserve"> </v>
      </c>
      <c r="S13" s="15" t="str">
        <f t="shared" si="3"/>
        <v/>
      </c>
      <c r="T13" s="15" t="str">
        <f t="shared" si="3"/>
        <v/>
      </c>
      <c r="U13" s="15" t="str">
        <f t="shared" si="3"/>
        <v/>
      </c>
      <c r="V13" s="15" t="str">
        <f t="shared" si="3"/>
        <v/>
      </c>
      <c r="W13" s="5" t="str">
        <f t="shared" si="3"/>
        <v/>
      </c>
    </row>
    <row r="14" spans="2:25" s="30" customFormat="1" ht="15.75" x14ac:dyDescent="0.25">
      <c r="B14" s="36">
        <v>7</v>
      </c>
      <c r="C14" s="36">
        <v>9</v>
      </c>
      <c r="D14" s="36">
        <v>6</v>
      </c>
      <c r="E14" s="36"/>
      <c r="F14" s="73">
        <v>5</v>
      </c>
      <c r="G14" s="4">
        <f t="shared" ca="1" si="0"/>
        <v>7</v>
      </c>
      <c r="H14" s="19">
        <f t="shared" ca="1" si="1"/>
        <v>9</v>
      </c>
      <c r="I14" s="69">
        <f t="shared" ca="1" si="2"/>
        <v>6</v>
      </c>
      <c r="J14" s="92"/>
      <c r="K14" s="97"/>
      <c r="L14" s="76"/>
      <c r="M14" s="98"/>
      <c r="N14" s="32" t="str">
        <f t="shared" si="3"/>
        <v/>
      </c>
      <c r="O14" s="15" t="str">
        <f t="shared" si="3"/>
        <v/>
      </c>
      <c r="P14" s="15" t="str">
        <f t="shared" si="3"/>
        <v/>
      </c>
      <c r="Q14" s="15" t="str">
        <f t="shared" si="3"/>
        <v/>
      </c>
      <c r="R14" s="15" t="str">
        <f t="shared" si="3"/>
        <v/>
      </c>
      <c r="S14" s="15" t="str">
        <f t="shared" si="3"/>
        <v xml:space="preserve"> </v>
      </c>
      <c r="T14" s="15" t="str">
        <f t="shared" si="3"/>
        <v xml:space="preserve"> </v>
      </c>
      <c r="U14" s="15" t="str">
        <f t="shared" si="3"/>
        <v/>
      </c>
      <c r="V14" s="15" t="str">
        <f t="shared" si="3"/>
        <v xml:space="preserve"> </v>
      </c>
      <c r="W14" s="5" t="str">
        <f t="shared" si="3"/>
        <v/>
      </c>
    </row>
    <row r="15" spans="2:25" s="30" customFormat="1" ht="15.75" x14ac:dyDescent="0.25">
      <c r="B15" s="36">
        <v>2</v>
      </c>
      <c r="C15" s="36">
        <v>4</v>
      </c>
      <c r="D15" s="36">
        <v>1</v>
      </c>
      <c r="E15" s="36"/>
      <c r="F15" s="73">
        <v>6</v>
      </c>
      <c r="G15" s="4">
        <f t="shared" ca="1" si="0"/>
        <v>2</v>
      </c>
      <c r="H15" s="19">
        <f t="shared" ca="1" si="1"/>
        <v>4</v>
      </c>
      <c r="I15" s="69">
        <f t="shared" ca="1" si="2"/>
        <v>1</v>
      </c>
      <c r="J15" s="92"/>
      <c r="K15" s="97"/>
      <c r="L15" s="76"/>
      <c r="M15" s="98"/>
      <c r="N15" s="32" t="str">
        <f t="shared" si="3"/>
        <v xml:space="preserve"> </v>
      </c>
      <c r="O15" s="15" t="str">
        <f t="shared" si="3"/>
        <v xml:space="preserve"> </v>
      </c>
      <c r="P15" s="15" t="str">
        <f t="shared" si="3"/>
        <v/>
      </c>
      <c r="Q15" s="15" t="str">
        <f t="shared" si="3"/>
        <v xml:space="preserve"> </v>
      </c>
      <c r="R15" s="15" t="str">
        <f t="shared" si="3"/>
        <v/>
      </c>
      <c r="S15" s="15" t="str">
        <f t="shared" si="3"/>
        <v/>
      </c>
      <c r="T15" s="15" t="str">
        <f t="shared" si="3"/>
        <v/>
      </c>
      <c r="U15" s="15" t="str">
        <f t="shared" si="3"/>
        <v/>
      </c>
      <c r="V15" s="15" t="str">
        <f t="shared" si="3"/>
        <v/>
      </c>
      <c r="W15" s="5" t="str">
        <f t="shared" si="3"/>
        <v/>
      </c>
    </row>
    <row r="16" spans="2:25" s="30" customFormat="1" ht="15.75" x14ac:dyDescent="0.25">
      <c r="B16" s="36">
        <v>6</v>
      </c>
      <c r="C16" s="36">
        <v>8</v>
      </c>
      <c r="D16" s="36">
        <v>5</v>
      </c>
      <c r="E16" s="36"/>
      <c r="F16" s="73">
        <v>7</v>
      </c>
      <c r="G16" s="4">
        <f t="shared" ca="1" si="0"/>
        <v>6</v>
      </c>
      <c r="H16" s="19">
        <f t="shared" ca="1" si="1"/>
        <v>8</v>
      </c>
      <c r="I16" s="69">
        <f t="shared" ca="1" si="2"/>
        <v>5</v>
      </c>
      <c r="J16" s="92"/>
      <c r="K16" s="97"/>
      <c r="L16" s="76"/>
      <c r="M16" s="98"/>
      <c r="N16" s="32" t="str">
        <f t="shared" si="3"/>
        <v/>
      </c>
      <c r="O16" s="15" t="str">
        <f t="shared" si="3"/>
        <v/>
      </c>
      <c r="P16" s="15" t="str">
        <f t="shared" si="3"/>
        <v/>
      </c>
      <c r="Q16" s="15" t="str">
        <f t="shared" si="3"/>
        <v/>
      </c>
      <c r="R16" s="15" t="str">
        <f t="shared" si="3"/>
        <v xml:space="preserve"> </v>
      </c>
      <c r="S16" s="15" t="str">
        <f t="shared" si="3"/>
        <v xml:space="preserve"> </v>
      </c>
      <c r="T16" s="15" t="str">
        <f t="shared" si="3"/>
        <v/>
      </c>
      <c r="U16" s="15" t="str">
        <f t="shared" si="3"/>
        <v xml:space="preserve"> </v>
      </c>
      <c r="V16" s="15" t="str">
        <f t="shared" si="3"/>
        <v/>
      </c>
      <c r="W16" s="5" t="str">
        <f t="shared" si="3"/>
        <v/>
      </c>
    </row>
    <row r="17" spans="2:23" s="30" customFormat="1" ht="15.75" x14ac:dyDescent="0.25">
      <c r="B17" s="36">
        <v>10</v>
      </c>
      <c r="C17" s="36">
        <v>2</v>
      </c>
      <c r="D17" s="36">
        <v>9</v>
      </c>
      <c r="E17" s="36"/>
      <c r="F17" s="73">
        <v>8</v>
      </c>
      <c r="G17" s="4">
        <f t="shared" ca="1" si="0"/>
        <v>13</v>
      </c>
      <c r="H17" s="19">
        <f t="shared" ca="1" si="1"/>
        <v>2</v>
      </c>
      <c r="I17" s="69">
        <f t="shared" ca="1" si="2"/>
        <v>9</v>
      </c>
      <c r="J17" s="92"/>
      <c r="K17" s="97"/>
      <c r="L17" s="76"/>
      <c r="M17" s="98"/>
      <c r="N17" s="32" t="str">
        <f t="shared" si="3"/>
        <v/>
      </c>
      <c r="O17" s="15" t="str">
        <f t="shared" si="3"/>
        <v xml:space="preserve"> </v>
      </c>
      <c r="P17" s="15" t="str">
        <f t="shared" si="3"/>
        <v/>
      </c>
      <c r="Q17" s="15" t="str">
        <f t="shared" si="3"/>
        <v/>
      </c>
      <c r="R17" s="15" t="str">
        <f t="shared" si="3"/>
        <v/>
      </c>
      <c r="S17" s="15" t="str">
        <f t="shared" si="3"/>
        <v/>
      </c>
      <c r="T17" s="15" t="str">
        <f t="shared" si="3"/>
        <v/>
      </c>
      <c r="U17" s="15" t="str">
        <f t="shared" si="3"/>
        <v/>
      </c>
      <c r="V17" s="15" t="str">
        <f t="shared" si="3"/>
        <v xml:space="preserve"> </v>
      </c>
      <c r="W17" s="5" t="str">
        <f t="shared" si="3"/>
        <v xml:space="preserve"> </v>
      </c>
    </row>
    <row r="18" spans="2:23" s="30" customFormat="1" ht="15.75" x14ac:dyDescent="0.25">
      <c r="B18" s="36">
        <v>4</v>
      </c>
      <c r="C18" s="36">
        <v>6</v>
      </c>
      <c r="D18" s="36">
        <v>3</v>
      </c>
      <c r="E18" s="36"/>
      <c r="F18" s="73">
        <v>9</v>
      </c>
      <c r="G18" s="4">
        <f t="shared" ca="1" si="0"/>
        <v>4</v>
      </c>
      <c r="H18" s="19">
        <f t="shared" ca="1" si="1"/>
        <v>6</v>
      </c>
      <c r="I18" s="69">
        <f t="shared" ca="1" si="2"/>
        <v>3</v>
      </c>
      <c r="J18" s="92"/>
      <c r="K18" s="97"/>
      <c r="L18" s="76"/>
      <c r="M18" s="98"/>
      <c r="N18" s="32" t="str">
        <f t="shared" si="3"/>
        <v/>
      </c>
      <c r="O18" s="15" t="str">
        <f t="shared" si="3"/>
        <v/>
      </c>
      <c r="P18" s="15" t="str">
        <f t="shared" si="3"/>
        <v xml:space="preserve"> </v>
      </c>
      <c r="Q18" s="15" t="str">
        <f t="shared" si="3"/>
        <v xml:space="preserve"> </v>
      </c>
      <c r="R18" s="15" t="str">
        <f t="shared" si="3"/>
        <v/>
      </c>
      <c r="S18" s="15" t="str">
        <f t="shared" si="3"/>
        <v xml:space="preserve"> </v>
      </c>
      <c r="T18" s="15" t="str">
        <f t="shared" si="3"/>
        <v/>
      </c>
      <c r="U18" s="15" t="str">
        <f t="shared" si="3"/>
        <v/>
      </c>
      <c r="V18" s="15" t="str">
        <f t="shared" si="3"/>
        <v/>
      </c>
      <c r="W18" s="5" t="str">
        <f t="shared" si="3"/>
        <v/>
      </c>
    </row>
    <row r="19" spans="2:23" s="30" customFormat="1" ht="16.5" thickBot="1" x14ac:dyDescent="0.3">
      <c r="B19" s="36">
        <v>8</v>
      </c>
      <c r="C19" s="36">
        <v>10</v>
      </c>
      <c r="D19" s="36">
        <v>7</v>
      </c>
      <c r="E19" s="36"/>
      <c r="F19" s="74">
        <v>10</v>
      </c>
      <c r="G19" s="6">
        <f t="shared" ca="1" si="0"/>
        <v>8</v>
      </c>
      <c r="H19" s="39">
        <f t="shared" ca="1" si="1"/>
        <v>13</v>
      </c>
      <c r="I19" s="40">
        <f t="shared" ca="1" si="2"/>
        <v>7</v>
      </c>
      <c r="J19" s="93"/>
      <c r="K19" s="99"/>
      <c r="L19" s="100"/>
      <c r="M19" s="101"/>
      <c r="N19" s="20" t="str">
        <f t="shared" si="3"/>
        <v/>
      </c>
      <c r="O19" s="16" t="str">
        <f t="shared" si="3"/>
        <v/>
      </c>
      <c r="P19" s="16" t="str">
        <f t="shared" si="3"/>
        <v/>
      </c>
      <c r="Q19" s="16" t="str">
        <f t="shared" si="3"/>
        <v/>
      </c>
      <c r="R19" s="16" t="str">
        <f t="shared" si="3"/>
        <v/>
      </c>
      <c r="S19" s="16" t="str">
        <f t="shared" si="3"/>
        <v/>
      </c>
      <c r="T19" s="16" t="str">
        <f t="shared" si="3"/>
        <v xml:space="preserve"> </v>
      </c>
      <c r="U19" s="16" t="str">
        <f t="shared" si="3"/>
        <v xml:space="preserve"> </v>
      </c>
      <c r="V19" s="16" t="str">
        <f t="shared" si="3"/>
        <v/>
      </c>
      <c r="W19" s="43" t="str">
        <f t="shared" si="3"/>
        <v xml:space="preserve"> </v>
      </c>
    </row>
    <row r="20" spans="2:23" ht="15.75" x14ac:dyDescent="0.25">
      <c r="K20" s="156" t="s">
        <v>4</v>
      </c>
      <c r="L20" s="157"/>
      <c r="M20" s="158"/>
      <c r="N20" s="44" t="str">
        <f t="shared" ref="N20:W20" si="4">IF(SUM(N10:N19)&lt;1," ",SUM(N10:N19))</f>
        <v xml:space="preserve"> </v>
      </c>
      <c r="O20" s="45" t="str">
        <f t="shared" si="4"/>
        <v xml:space="preserve"> </v>
      </c>
      <c r="P20" s="45" t="str">
        <f t="shared" si="4"/>
        <v xml:space="preserve"> </v>
      </c>
      <c r="Q20" s="45" t="str">
        <f t="shared" si="4"/>
        <v xml:space="preserve"> </v>
      </c>
      <c r="R20" s="45" t="str">
        <f t="shared" si="4"/>
        <v xml:space="preserve"> </v>
      </c>
      <c r="S20" s="45" t="str">
        <f t="shared" si="4"/>
        <v xml:space="preserve"> </v>
      </c>
      <c r="T20" s="45" t="str">
        <f t="shared" si="4"/>
        <v xml:space="preserve"> </v>
      </c>
      <c r="U20" s="45" t="str">
        <f t="shared" si="4"/>
        <v xml:space="preserve"> </v>
      </c>
      <c r="V20" s="45" t="str">
        <f t="shared" si="4"/>
        <v xml:space="preserve"> </v>
      </c>
      <c r="W20" s="46" t="str">
        <f t="shared" si="4"/>
        <v xml:space="preserve"> </v>
      </c>
    </row>
    <row r="21" spans="2:23" ht="16.5" thickBot="1" x14ac:dyDescent="0.3">
      <c r="K21" s="141" t="s">
        <v>5</v>
      </c>
      <c r="L21" s="142"/>
      <c r="M21" s="143"/>
      <c r="N21" s="120" t="e">
        <f>RANK(N20,$N20:$AL20,0)</f>
        <v>#VALUE!</v>
      </c>
      <c r="O21" s="121" t="e">
        <f t="shared" ref="O21:W21" si="5">RANK(O20,$N20:$AL20,0)</f>
        <v>#VALUE!</v>
      </c>
      <c r="P21" s="121" t="e">
        <f t="shared" si="5"/>
        <v>#VALUE!</v>
      </c>
      <c r="Q21" s="121" t="e">
        <f t="shared" si="5"/>
        <v>#VALUE!</v>
      </c>
      <c r="R21" s="121" t="e">
        <f t="shared" si="5"/>
        <v>#VALUE!</v>
      </c>
      <c r="S21" s="121" t="e">
        <f t="shared" si="5"/>
        <v>#VALUE!</v>
      </c>
      <c r="T21" s="121" t="e">
        <f t="shared" si="5"/>
        <v>#VALUE!</v>
      </c>
      <c r="U21" s="121" t="e">
        <f t="shared" si="5"/>
        <v>#VALUE!</v>
      </c>
      <c r="V21" s="121" t="e">
        <f t="shared" si="5"/>
        <v>#VALUE!</v>
      </c>
      <c r="W21" s="122" t="e">
        <f t="shared" si="5"/>
        <v>#VALUE!</v>
      </c>
    </row>
    <row r="22" spans="2:23" x14ac:dyDescent="0.2">
      <c r="N22" s="7"/>
      <c r="O22" s="7"/>
      <c r="P22" s="7"/>
      <c r="Q22" s="7"/>
    </row>
    <row r="23" spans="2:23" s="31" customFormat="1" ht="135.75" customHeight="1" x14ac:dyDescent="0.2">
      <c r="N23" s="8" t="str">
        <f>+Names!$B$2</f>
        <v>Luke</v>
      </c>
      <c r="O23" s="8" t="str">
        <f>+Names!$B$3</f>
        <v>Ro</v>
      </c>
      <c r="P23" s="8" t="str">
        <f>+Names!$B$4</f>
        <v>Caleb</v>
      </c>
      <c r="Q23" s="8" t="str">
        <f>+Names!$B$5</f>
        <v>Zau</v>
      </c>
      <c r="R23" s="8" t="str">
        <f>+Names!$B$6</f>
        <v>Brady</v>
      </c>
      <c r="S23" s="8" t="str">
        <f>+Names!$B$7</f>
        <v>Theo</v>
      </c>
      <c r="T23" s="8" t="str">
        <f>+Names!$B$8</f>
        <v>Jonathan</v>
      </c>
      <c r="U23" s="8" t="str">
        <f>+Names!$B$9</f>
        <v>Brenton</v>
      </c>
      <c r="V23" s="8" t="str">
        <f>+Names!$B$10</f>
        <v>Jospe</v>
      </c>
      <c r="W23" s="8" t="str">
        <f>+Names!$B$11</f>
        <v>Emery</v>
      </c>
    </row>
  </sheetData>
  <sheetProtection sheet="1" objects="1" scenarios="1" selectLockedCells="1"/>
  <mergeCells count="21">
    <mergeCell ref="F1:Y1"/>
    <mergeCell ref="K21:M21"/>
    <mergeCell ref="S3:U3"/>
    <mergeCell ref="S4:U4"/>
    <mergeCell ref="S5:U5"/>
    <mergeCell ref="M3:N3"/>
    <mergeCell ref="M4:N4"/>
    <mergeCell ref="M5:N5"/>
    <mergeCell ref="M6:N6"/>
    <mergeCell ref="M2:N2"/>
    <mergeCell ref="K20:M20"/>
    <mergeCell ref="N8:W8"/>
    <mergeCell ref="R2:U2"/>
    <mergeCell ref="K8:M8"/>
    <mergeCell ref="I2:L2"/>
    <mergeCell ref="F5:G5"/>
    <mergeCell ref="F6:G6"/>
    <mergeCell ref="G8:I8"/>
    <mergeCell ref="F2:G2"/>
    <mergeCell ref="F3:G3"/>
    <mergeCell ref="F4:G4"/>
  </mergeCells>
  <phoneticPr fontId="14" type="noConversion"/>
  <conditionalFormatting sqref="F10:F19">
    <cfRule type="expression" dxfId="174" priority="31" stopIfTrue="1">
      <formula>$H$2=F10</formula>
    </cfRule>
  </conditionalFormatting>
  <conditionalFormatting sqref="G10">
    <cfRule type="expression" dxfId="173" priority="13" stopIfTrue="1">
      <formula>$K$10=1</formula>
    </cfRule>
    <cfRule type="expression" dxfId="172" priority="14" stopIfTrue="1">
      <formula>$L$10=1</formula>
    </cfRule>
    <cfRule type="expression" dxfId="171" priority="15" stopIfTrue="1">
      <formula>$M$10=1</formula>
    </cfRule>
  </conditionalFormatting>
  <conditionalFormatting sqref="G11:G19">
    <cfRule type="expression" dxfId="170" priority="16" stopIfTrue="1">
      <formula>K11=1</formula>
    </cfRule>
    <cfRule type="expression" dxfId="169" priority="17" stopIfTrue="1">
      <formula>L11=1</formula>
    </cfRule>
    <cfRule type="expression" dxfId="168" priority="18" stopIfTrue="1">
      <formula>M11=1</formula>
    </cfRule>
  </conditionalFormatting>
  <conditionalFormatting sqref="H10:H19">
    <cfRule type="expression" dxfId="167" priority="19" stopIfTrue="1">
      <formula>K10=2</formula>
    </cfRule>
    <cfRule type="expression" dxfId="166" priority="20" stopIfTrue="1">
      <formula>L10=2</formula>
    </cfRule>
    <cfRule type="expression" dxfId="165" priority="21" stopIfTrue="1">
      <formula>M10=2</formula>
    </cfRule>
  </conditionalFormatting>
  <conditionalFormatting sqref="I10:I19">
    <cfRule type="expression" dxfId="164" priority="22" stopIfTrue="1">
      <formula>K10=3</formula>
    </cfRule>
    <cfRule type="expression" dxfId="163" priority="23" stopIfTrue="1">
      <formula>L10=3</formula>
    </cfRule>
    <cfRule type="expression" dxfId="162" priority="24" stopIfTrue="1">
      <formula>M10=3</formula>
    </cfRule>
  </conditionalFormatting>
  <conditionalFormatting sqref="I3:N6">
    <cfRule type="expression" dxfId="161" priority="28" stopIfTrue="1">
      <formula>$M3="1st"</formula>
    </cfRule>
    <cfRule type="expression" dxfId="160" priority="29" stopIfTrue="1">
      <formula>$M3="2nd"</formula>
    </cfRule>
    <cfRule type="expression" dxfId="159" priority="30" stopIfTrue="1">
      <formula>$M3="3rd"</formula>
    </cfRule>
  </conditionalFormatting>
  <conditionalFormatting sqref="J10:J19">
    <cfRule type="expression" dxfId="158" priority="25" stopIfTrue="1">
      <formula>K10=4</formula>
    </cfRule>
    <cfRule type="expression" dxfId="157" priority="26" stopIfTrue="1">
      <formula>L10=4</formula>
    </cfRule>
    <cfRule type="expression" dxfId="156" priority="27" stopIfTrue="1">
      <formula>M10=4</formula>
    </cfRule>
  </conditionalFormatting>
  <conditionalFormatting sqref="N10:W19">
    <cfRule type="cellIs" dxfId="155" priority="10" stopIfTrue="1" operator="equal">
      <formula>3</formula>
    </cfRule>
    <cfRule type="cellIs" dxfId="154" priority="11" stopIfTrue="1" operator="equal">
      <formula>2</formula>
    </cfRule>
    <cfRule type="cellIs" dxfId="153" priority="12" stopIfTrue="1" operator="equal">
      <formula>1</formula>
    </cfRule>
  </conditionalFormatting>
  <conditionalFormatting sqref="N21:W21">
    <cfRule type="cellIs" dxfId="152" priority="1" operator="equal">
      <formula>3</formula>
    </cfRule>
    <cfRule type="cellIs" dxfId="151" priority="2" operator="equal">
      <formula>2</formula>
    </cfRule>
    <cfRule type="cellIs" dxfId="150" priority="3" operator="equal">
      <formula>1</formula>
    </cfRule>
  </conditionalFormatting>
  <pageMargins left="0.75" right="0.75" top="1" bottom="1"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16"/>
  <dimension ref="B1:Y22"/>
  <sheetViews>
    <sheetView showGridLines="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4" width="4.7109375" customWidth="1"/>
    <col min="25" max="25" width="5.140625" customWidth="1"/>
    <col min="26" max="26" width="5.28515625" customWidth="1"/>
  </cols>
  <sheetData>
    <row r="1" spans="2:25"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row>
    <row r="2" spans="2:25" s="29" customFormat="1" ht="22.5" x14ac:dyDescent="0.45">
      <c r="F2" s="133" t="s">
        <v>2</v>
      </c>
      <c r="G2" s="134"/>
      <c r="H2" s="21">
        <v>1</v>
      </c>
      <c r="I2" s="135" t="str">
        <f>+Names!$C$1</f>
        <v>Driver</v>
      </c>
      <c r="J2" s="136"/>
      <c r="K2" s="136"/>
      <c r="L2" s="137"/>
      <c r="M2" s="130" t="s">
        <v>8</v>
      </c>
      <c r="N2" s="130"/>
      <c r="R2" s="138" t="s">
        <v>12</v>
      </c>
      <c r="S2" s="139"/>
      <c r="T2" s="139"/>
      <c r="U2" s="140"/>
    </row>
    <row r="3" spans="2:25"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3rd</v>
      </c>
      <c r="N3" s="130" t="str">
        <f ca="1">IF($K3=4,3,IF($L3=4,2,IF($M3=4,1," ")))</f>
        <v xml:space="preserve"> </v>
      </c>
      <c r="R3" s="33"/>
      <c r="S3" s="131" t="s">
        <v>9</v>
      </c>
      <c r="T3" s="131"/>
      <c r="U3" s="131"/>
    </row>
    <row r="4" spans="2:25"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2nd</v>
      </c>
      <c r="N4" s="130" t="str">
        <f ca="1">IF($K4=4,3,IF($L4=4,2,IF($M4=4,1," ")))</f>
        <v xml:space="preserve"> </v>
      </c>
      <c r="R4" s="34"/>
      <c r="S4" s="131" t="s">
        <v>10</v>
      </c>
      <c r="T4" s="131"/>
      <c r="U4" s="131"/>
    </row>
    <row r="5" spans="2:25" s="29" customFormat="1" ht="18.75" x14ac:dyDescent="0.3">
      <c r="E5" s="17"/>
      <c r="F5" s="128" t="s">
        <v>6</v>
      </c>
      <c r="G5" s="129"/>
      <c r="H5" s="3">
        <f ca="1">INDIRECT(ADDRESS(INDIRECT(ADDRESS($H$2+9,4))+1,1,,,"Names"))</f>
        <v>6</v>
      </c>
      <c r="I5" s="84" t="str">
        <f ca="1">INDIRECT(ADDRESS(INDIRECT(ADDRESS($H$2+9,4))+1,2,,,"Names"))</f>
        <v>Theo</v>
      </c>
      <c r="J5" s="85"/>
      <c r="K5" s="85"/>
      <c r="L5" s="86"/>
      <c r="M5" s="130" t="str">
        <f ca="1">IF(INDIRECT(ADDRESS(9+$H$2,11))=3,"1st",IF(INDIRECT(ADDRESS(9+$H$2,12))=3,"2nd",IF(INDIRECT(ADDRESS(9+$H$2,13))=3,"3rd"," ")))</f>
        <v>1st</v>
      </c>
      <c r="N5" s="130" t="str">
        <f ca="1">IF($K5=4,3,IF($L5=4,2,IF($M5=4,1," ")))</f>
        <v xml:space="preserve"> </v>
      </c>
      <c r="R5" s="35"/>
      <c r="S5" s="131" t="s">
        <v>11</v>
      </c>
      <c r="T5" s="131"/>
      <c r="U5" s="131"/>
    </row>
    <row r="6" spans="2:25" s="29" customFormat="1" ht="18.75" hidden="1" x14ac:dyDescent="0.3">
      <c r="E6" s="17"/>
      <c r="F6" s="128"/>
      <c r="G6" s="129"/>
      <c r="H6" s="3"/>
      <c r="I6" s="84"/>
      <c r="J6" s="85"/>
      <c r="K6" s="85"/>
      <c r="L6" s="86"/>
      <c r="M6" s="130"/>
      <c r="N6" s="130"/>
      <c r="R6"/>
      <c r="S6" s="26"/>
      <c r="T6" s="26"/>
      <c r="U6" s="26"/>
    </row>
    <row r="7" spans="2:25" ht="13.5" thickBot="1" x14ac:dyDescent="0.25">
      <c r="E7" s="28"/>
    </row>
    <row r="8" spans="2:25" s="30" customFormat="1" ht="16.5" thickBot="1" x14ac:dyDescent="0.25">
      <c r="G8" s="144" t="s">
        <v>3</v>
      </c>
      <c r="H8" s="145"/>
      <c r="I8" s="145"/>
      <c r="J8" s="83"/>
      <c r="K8" s="154" t="s">
        <v>34</v>
      </c>
      <c r="L8" s="147"/>
      <c r="M8" s="148"/>
      <c r="N8" s="144" t="s">
        <v>13</v>
      </c>
      <c r="O8" s="145"/>
      <c r="P8" s="145"/>
      <c r="Q8" s="145"/>
      <c r="R8" s="145"/>
      <c r="S8" s="145"/>
      <c r="T8" s="145"/>
      <c r="U8" s="145"/>
      <c r="V8" s="146"/>
    </row>
    <row r="9" spans="2:25"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7">
        <f>+Names!$A$7</f>
        <v>6</v>
      </c>
      <c r="T9" s="57">
        <f>+Names!$A$8</f>
        <v>7</v>
      </c>
      <c r="U9" s="57">
        <f>+Names!$A$9</f>
        <v>8</v>
      </c>
      <c r="V9" s="58">
        <f>+Names!$A$10</f>
        <v>9</v>
      </c>
    </row>
    <row r="10" spans="2:25" s="30" customFormat="1" ht="15.75" x14ac:dyDescent="0.25">
      <c r="B10" s="36">
        <v>1</v>
      </c>
      <c r="C10" s="36">
        <v>3</v>
      </c>
      <c r="D10" s="36">
        <v>6</v>
      </c>
      <c r="E10" s="36"/>
      <c r="F10" s="72">
        <v>1</v>
      </c>
      <c r="G10" s="37">
        <f t="shared" ref="G10:G18" ca="1" si="0">INDIRECT(ADDRESS(B10+1,1,,,"Names"))</f>
        <v>1</v>
      </c>
      <c r="H10" s="18">
        <f t="shared" ref="H10:H18" ca="1" si="1">INDIRECT(ADDRESS(C10+1,1,,,"Names"))</f>
        <v>3</v>
      </c>
      <c r="I10" s="38">
        <f t="shared" ref="I10:I18" ca="1" si="2">INDIRECT(ADDRESS(D10+1,1,,,"Names"))</f>
        <v>6</v>
      </c>
      <c r="J10" s="91"/>
      <c r="K10" s="49">
        <v>3</v>
      </c>
      <c r="L10" s="81">
        <v>2</v>
      </c>
      <c r="M10" s="77">
        <v>1</v>
      </c>
      <c r="N10" s="88">
        <f t="shared" ref="N10:V18" si="3">IF(ISNA(MATCH(COLUMN()-13,$B10:$E10,0)),"",IF($K10=MATCH(COLUMN()-13,$B10:$E10,0),3,IF($L10=MATCH(COLUMN()-13,$B10:$E10,0),2,IF($M10=MATCH(COLUMN()-13,$B10:$E10,0),1," "))))</f>
        <v>1</v>
      </c>
      <c r="O10" s="89" t="str">
        <f t="shared" si="3"/>
        <v/>
      </c>
      <c r="P10" s="89">
        <f t="shared" si="3"/>
        <v>2</v>
      </c>
      <c r="Q10" s="89" t="str">
        <f t="shared" si="3"/>
        <v/>
      </c>
      <c r="R10" s="89" t="str">
        <f t="shared" si="3"/>
        <v/>
      </c>
      <c r="S10" s="89">
        <f t="shared" si="3"/>
        <v>3</v>
      </c>
      <c r="T10" s="89" t="str">
        <f t="shared" si="3"/>
        <v/>
      </c>
      <c r="U10" s="89" t="str">
        <f t="shared" si="3"/>
        <v/>
      </c>
      <c r="V10" s="90" t="str">
        <f t="shared" si="3"/>
        <v/>
      </c>
    </row>
    <row r="11" spans="2:25" s="30" customFormat="1" ht="15.75" x14ac:dyDescent="0.25">
      <c r="B11" s="36">
        <v>2</v>
      </c>
      <c r="C11" s="36">
        <v>4</v>
      </c>
      <c r="D11" s="36">
        <v>7</v>
      </c>
      <c r="E11" s="36"/>
      <c r="F11" s="73">
        <v>2</v>
      </c>
      <c r="G11" s="4">
        <f t="shared" ca="1" si="0"/>
        <v>2</v>
      </c>
      <c r="H11" s="19">
        <f t="shared" ca="1" si="1"/>
        <v>4</v>
      </c>
      <c r="I11" s="69">
        <f t="shared" ca="1" si="2"/>
        <v>7</v>
      </c>
      <c r="J11" s="92"/>
      <c r="K11" s="97">
        <v>1</v>
      </c>
      <c r="L11" s="76">
        <v>2</v>
      </c>
      <c r="M11" s="98">
        <v>3</v>
      </c>
      <c r="N11" s="32" t="str">
        <f t="shared" si="3"/>
        <v/>
      </c>
      <c r="O11" s="15">
        <f t="shared" si="3"/>
        <v>3</v>
      </c>
      <c r="P11" s="15" t="str">
        <f t="shared" si="3"/>
        <v/>
      </c>
      <c r="Q11" s="15">
        <f t="shared" si="3"/>
        <v>2</v>
      </c>
      <c r="R11" s="15" t="str">
        <f t="shared" si="3"/>
        <v/>
      </c>
      <c r="S11" s="15" t="str">
        <f t="shared" si="3"/>
        <v/>
      </c>
      <c r="T11" s="15">
        <f t="shared" si="3"/>
        <v>1</v>
      </c>
      <c r="U11" s="15" t="str">
        <f t="shared" si="3"/>
        <v/>
      </c>
      <c r="V11" s="5" t="str">
        <f t="shared" si="3"/>
        <v/>
      </c>
    </row>
    <row r="12" spans="2:25" s="30" customFormat="1" ht="15.75" x14ac:dyDescent="0.25">
      <c r="B12" s="36">
        <v>3</v>
      </c>
      <c r="C12" s="36">
        <v>5</v>
      </c>
      <c r="D12" s="36">
        <v>8</v>
      </c>
      <c r="E12" s="36"/>
      <c r="F12" s="73">
        <v>3</v>
      </c>
      <c r="G12" s="4">
        <f t="shared" ca="1" si="0"/>
        <v>3</v>
      </c>
      <c r="H12" s="19">
        <f t="shared" ca="1" si="1"/>
        <v>5</v>
      </c>
      <c r="I12" s="69">
        <f t="shared" ca="1" si="2"/>
        <v>8</v>
      </c>
      <c r="J12" s="92"/>
      <c r="K12" s="97">
        <v>1</v>
      </c>
      <c r="L12" s="76">
        <v>3</v>
      </c>
      <c r="M12" s="98">
        <v>2</v>
      </c>
      <c r="N12" s="32" t="str">
        <f t="shared" si="3"/>
        <v/>
      </c>
      <c r="O12" s="15" t="str">
        <f t="shared" si="3"/>
        <v/>
      </c>
      <c r="P12" s="15">
        <f t="shared" si="3"/>
        <v>3</v>
      </c>
      <c r="Q12" s="15" t="str">
        <f t="shared" si="3"/>
        <v/>
      </c>
      <c r="R12" s="15">
        <f t="shared" si="3"/>
        <v>1</v>
      </c>
      <c r="S12" s="15" t="str">
        <f t="shared" si="3"/>
        <v/>
      </c>
      <c r="T12" s="15" t="str">
        <f t="shared" si="3"/>
        <v/>
      </c>
      <c r="U12" s="15">
        <f t="shared" si="3"/>
        <v>2</v>
      </c>
      <c r="V12" s="5" t="str">
        <f t="shared" si="3"/>
        <v/>
      </c>
    </row>
    <row r="13" spans="2:25" s="30" customFormat="1" ht="15.75" x14ac:dyDescent="0.25">
      <c r="B13" s="36">
        <v>4</v>
      </c>
      <c r="C13" s="36">
        <v>6</v>
      </c>
      <c r="D13" s="36">
        <v>9</v>
      </c>
      <c r="E13" s="36"/>
      <c r="F13" s="73">
        <v>4</v>
      </c>
      <c r="G13" s="4">
        <f t="shared" ca="1" si="0"/>
        <v>4</v>
      </c>
      <c r="H13" s="19">
        <f t="shared" ca="1" si="1"/>
        <v>6</v>
      </c>
      <c r="I13" s="69">
        <f t="shared" ca="1" si="2"/>
        <v>9</v>
      </c>
      <c r="J13" s="92"/>
      <c r="K13" s="97">
        <v>1</v>
      </c>
      <c r="L13" s="76">
        <v>3</v>
      </c>
      <c r="M13" s="98">
        <v>2</v>
      </c>
      <c r="N13" s="32" t="str">
        <f t="shared" si="3"/>
        <v/>
      </c>
      <c r="O13" s="15" t="str">
        <f t="shared" si="3"/>
        <v/>
      </c>
      <c r="P13" s="15" t="str">
        <f t="shared" si="3"/>
        <v/>
      </c>
      <c r="Q13" s="15">
        <f t="shared" si="3"/>
        <v>3</v>
      </c>
      <c r="R13" s="15" t="str">
        <f t="shared" si="3"/>
        <v/>
      </c>
      <c r="S13" s="15">
        <f t="shared" si="3"/>
        <v>1</v>
      </c>
      <c r="T13" s="15" t="str">
        <f t="shared" si="3"/>
        <v/>
      </c>
      <c r="U13" s="15" t="str">
        <f t="shared" si="3"/>
        <v/>
      </c>
      <c r="V13" s="5">
        <f t="shared" si="3"/>
        <v>2</v>
      </c>
    </row>
    <row r="14" spans="2:25" s="30" customFormat="1" ht="15.75" x14ac:dyDescent="0.25">
      <c r="B14" s="36">
        <v>5</v>
      </c>
      <c r="C14" s="36">
        <v>7</v>
      </c>
      <c r="D14" s="36">
        <v>1</v>
      </c>
      <c r="E14" s="36"/>
      <c r="F14" s="73">
        <v>5</v>
      </c>
      <c r="G14" s="4">
        <f t="shared" ca="1" si="0"/>
        <v>5</v>
      </c>
      <c r="H14" s="19">
        <f t="shared" ca="1" si="1"/>
        <v>7</v>
      </c>
      <c r="I14" s="69">
        <f t="shared" ca="1" si="2"/>
        <v>1</v>
      </c>
      <c r="J14" s="92"/>
      <c r="K14" s="97">
        <v>2</v>
      </c>
      <c r="L14" s="76">
        <v>3</v>
      </c>
      <c r="M14" s="98">
        <v>1</v>
      </c>
      <c r="N14" s="32">
        <f t="shared" si="3"/>
        <v>2</v>
      </c>
      <c r="O14" s="15" t="str">
        <f t="shared" si="3"/>
        <v/>
      </c>
      <c r="P14" s="15" t="str">
        <f t="shared" si="3"/>
        <v/>
      </c>
      <c r="Q14" s="15" t="str">
        <f t="shared" si="3"/>
        <v/>
      </c>
      <c r="R14" s="15">
        <f t="shared" si="3"/>
        <v>1</v>
      </c>
      <c r="S14" s="15" t="str">
        <f t="shared" si="3"/>
        <v/>
      </c>
      <c r="T14" s="15">
        <f t="shared" si="3"/>
        <v>3</v>
      </c>
      <c r="U14" s="15" t="str">
        <f t="shared" si="3"/>
        <v/>
      </c>
      <c r="V14" s="5" t="str">
        <f t="shared" si="3"/>
        <v/>
      </c>
    </row>
    <row r="15" spans="2:25" s="30" customFormat="1" ht="15.75" x14ac:dyDescent="0.25">
      <c r="B15" s="36">
        <v>6</v>
      </c>
      <c r="C15" s="36">
        <v>8</v>
      </c>
      <c r="D15" s="36">
        <v>2</v>
      </c>
      <c r="E15" s="36"/>
      <c r="F15" s="73">
        <v>6</v>
      </c>
      <c r="G15" s="4">
        <f t="shared" ca="1" si="0"/>
        <v>6</v>
      </c>
      <c r="H15" s="19">
        <f t="shared" ca="1" si="1"/>
        <v>8</v>
      </c>
      <c r="I15" s="69">
        <f t="shared" ca="1" si="2"/>
        <v>2</v>
      </c>
      <c r="J15" s="92"/>
      <c r="K15" s="97">
        <v>3</v>
      </c>
      <c r="L15" s="76">
        <v>1</v>
      </c>
      <c r="M15" s="98">
        <v>2</v>
      </c>
      <c r="N15" s="32" t="str">
        <f t="shared" si="3"/>
        <v/>
      </c>
      <c r="O15" s="15">
        <f t="shared" si="3"/>
        <v>3</v>
      </c>
      <c r="P15" s="15" t="str">
        <f t="shared" si="3"/>
        <v/>
      </c>
      <c r="Q15" s="15" t="str">
        <f t="shared" si="3"/>
        <v/>
      </c>
      <c r="R15" s="15" t="str">
        <f t="shared" si="3"/>
        <v/>
      </c>
      <c r="S15" s="15">
        <f t="shared" si="3"/>
        <v>2</v>
      </c>
      <c r="T15" s="15" t="str">
        <f t="shared" si="3"/>
        <v/>
      </c>
      <c r="U15" s="15">
        <f t="shared" si="3"/>
        <v>1</v>
      </c>
      <c r="V15" s="5" t="str">
        <f t="shared" si="3"/>
        <v/>
      </c>
    </row>
    <row r="16" spans="2:25" s="30" customFormat="1" ht="15.75" x14ac:dyDescent="0.25">
      <c r="B16" s="36">
        <v>7</v>
      </c>
      <c r="C16" s="36">
        <v>9</v>
      </c>
      <c r="D16" s="36">
        <v>3</v>
      </c>
      <c r="E16" s="36"/>
      <c r="F16" s="73">
        <v>7</v>
      </c>
      <c r="G16" s="4">
        <f t="shared" ca="1" si="0"/>
        <v>7</v>
      </c>
      <c r="H16" s="19">
        <f t="shared" ca="1" si="1"/>
        <v>9</v>
      </c>
      <c r="I16" s="69">
        <f t="shared" ca="1" si="2"/>
        <v>3</v>
      </c>
      <c r="J16" s="92"/>
      <c r="K16" s="97">
        <v>2</v>
      </c>
      <c r="L16" s="76">
        <v>3</v>
      </c>
      <c r="M16" s="98">
        <v>1</v>
      </c>
      <c r="N16" s="32" t="str">
        <f t="shared" si="3"/>
        <v/>
      </c>
      <c r="O16" s="15" t="str">
        <f t="shared" si="3"/>
        <v/>
      </c>
      <c r="P16" s="15">
        <f t="shared" si="3"/>
        <v>2</v>
      </c>
      <c r="Q16" s="15" t="str">
        <f t="shared" si="3"/>
        <v/>
      </c>
      <c r="R16" s="15" t="str">
        <f t="shared" si="3"/>
        <v/>
      </c>
      <c r="S16" s="15" t="str">
        <f t="shared" si="3"/>
        <v/>
      </c>
      <c r="T16" s="15">
        <f t="shared" si="3"/>
        <v>1</v>
      </c>
      <c r="U16" s="15" t="str">
        <f t="shared" si="3"/>
        <v/>
      </c>
      <c r="V16" s="5">
        <f t="shared" si="3"/>
        <v>3</v>
      </c>
    </row>
    <row r="17" spans="2:22" s="30" customFormat="1" ht="15.75" x14ac:dyDescent="0.25">
      <c r="B17" s="36">
        <v>8</v>
      </c>
      <c r="C17" s="36">
        <v>1</v>
      </c>
      <c r="D17" s="36">
        <v>4</v>
      </c>
      <c r="E17" s="36"/>
      <c r="F17" s="73">
        <v>8</v>
      </c>
      <c r="G17" s="4">
        <f t="shared" ca="1" si="0"/>
        <v>8</v>
      </c>
      <c r="H17" s="19">
        <f t="shared" ca="1" si="1"/>
        <v>1</v>
      </c>
      <c r="I17" s="69">
        <f t="shared" ca="1" si="2"/>
        <v>4</v>
      </c>
      <c r="J17" s="92"/>
      <c r="K17" s="97">
        <v>3</v>
      </c>
      <c r="L17" s="76">
        <v>2</v>
      </c>
      <c r="M17" s="98">
        <v>1</v>
      </c>
      <c r="N17" s="32">
        <f t="shared" si="3"/>
        <v>2</v>
      </c>
      <c r="O17" s="15" t="str">
        <f t="shared" si="3"/>
        <v/>
      </c>
      <c r="P17" s="15" t="str">
        <f t="shared" si="3"/>
        <v/>
      </c>
      <c r="Q17" s="15">
        <f t="shared" si="3"/>
        <v>3</v>
      </c>
      <c r="R17" s="15" t="str">
        <f t="shared" si="3"/>
        <v/>
      </c>
      <c r="S17" s="15" t="str">
        <f t="shared" si="3"/>
        <v/>
      </c>
      <c r="T17" s="15" t="str">
        <f t="shared" si="3"/>
        <v/>
      </c>
      <c r="U17" s="15">
        <f t="shared" si="3"/>
        <v>1</v>
      </c>
      <c r="V17" s="5" t="str">
        <f t="shared" si="3"/>
        <v/>
      </c>
    </row>
    <row r="18" spans="2:22" s="30" customFormat="1" ht="16.5" thickBot="1" x14ac:dyDescent="0.3">
      <c r="B18" s="36">
        <v>9</v>
      </c>
      <c r="C18" s="36">
        <v>2</v>
      </c>
      <c r="D18" s="36">
        <v>5</v>
      </c>
      <c r="E18" s="36"/>
      <c r="F18" s="74">
        <v>9</v>
      </c>
      <c r="G18" s="6">
        <f t="shared" ca="1" si="0"/>
        <v>9</v>
      </c>
      <c r="H18" s="39">
        <f t="shared" ca="1" si="1"/>
        <v>2</v>
      </c>
      <c r="I18" s="40">
        <f t="shared" ca="1" si="2"/>
        <v>5</v>
      </c>
      <c r="J18" s="93"/>
      <c r="K18" s="99">
        <v>2</v>
      </c>
      <c r="L18" s="100">
        <v>1</v>
      </c>
      <c r="M18" s="101">
        <v>3</v>
      </c>
      <c r="N18" s="20" t="str">
        <f t="shared" si="3"/>
        <v/>
      </c>
      <c r="O18" s="16">
        <f t="shared" si="3"/>
        <v>3</v>
      </c>
      <c r="P18" s="16" t="str">
        <f t="shared" si="3"/>
        <v/>
      </c>
      <c r="Q18" s="16" t="str">
        <f t="shared" si="3"/>
        <v/>
      </c>
      <c r="R18" s="16">
        <f t="shared" si="3"/>
        <v>1</v>
      </c>
      <c r="S18" s="16" t="str">
        <f t="shared" si="3"/>
        <v/>
      </c>
      <c r="T18" s="16" t="str">
        <f t="shared" si="3"/>
        <v/>
      </c>
      <c r="U18" s="16" t="str">
        <f t="shared" si="3"/>
        <v/>
      </c>
      <c r="V18" s="43">
        <f t="shared" si="3"/>
        <v>2</v>
      </c>
    </row>
    <row r="19" spans="2:22" ht="15.75" x14ac:dyDescent="0.25">
      <c r="K19" s="156" t="s">
        <v>4</v>
      </c>
      <c r="L19" s="157"/>
      <c r="M19" s="158"/>
      <c r="N19" s="44">
        <f t="shared" ref="N19:V19" si="4">IF(SUM(N10:N18)&lt;1," ",SUM(N10:N18))</f>
        <v>5</v>
      </c>
      <c r="O19" s="45">
        <f t="shared" si="4"/>
        <v>9</v>
      </c>
      <c r="P19" s="45">
        <f t="shared" si="4"/>
        <v>7</v>
      </c>
      <c r="Q19" s="45">
        <f t="shared" si="4"/>
        <v>8</v>
      </c>
      <c r="R19" s="45">
        <f t="shared" si="4"/>
        <v>3</v>
      </c>
      <c r="S19" s="45">
        <f t="shared" si="4"/>
        <v>6</v>
      </c>
      <c r="T19" s="45">
        <f t="shared" si="4"/>
        <v>5</v>
      </c>
      <c r="U19" s="45">
        <f t="shared" si="4"/>
        <v>4</v>
      </c>
      <c r="V19" s="46">
        <f t="shared" si="4"/>
        <v>7</v>
      </c>
    </row>
    <row r="20" spans="2:22" ht="16.5" thickBot="1" x14ac:dyDescent="0.3">
      <c r="K20" s="141" t="s">
        <v>5</v>
      </c>
      <c r="L20" s="142"/>
      <c r="M20" s="143"/>
      <c r="N20" s="120">
        <f>RANK(N19,$N19:$AL19,0)</f>
        <v>6</v>
      </c>
      <c r="O20" s="121">
        <f t="shared" ref="O20:V20" si="5">RANK(O19,$N19:$AL19,0)</f>
        <v>1</v>
      </c>
      <c r="P20" s="121">
        <f t="shared" si="5"/>
        <v>3</v>
      </c>
      <c r="Q20" s="121">
        <f t="shared" si="5"/>
        <v>2</v>
      </c>
      <c r="R20" s="121">
        <f t="shared" si="5"/>
        <v>9</v>
      </c>
      <c r="S20" s="121">
        <f t="shared" si="5"/>
        <v>5</v>
      </c>
      <c r="T20" s="121">
        <f t="shared" si="5"/>
        <v>6</v>
      </c>
      <c r="U20" s="121">
        <f t="shared" si="5"/>
        <v>8</v>
      </c>
      <c r="V20" s="122">
        <f t="shared" si="5"/>
        <v>3</v>
      </c>
    </row>
    <row r="21" spans="2:22" x14ac:dyDescent="0.2">
      <c r="N21" s="7"/>
      <c r="O21" s="7"/>
      <c r="P21" s="7"/>
      <c r="Q21" s="7"/>
    </row>
    <row r="22" spans="2:22" s="31" customFormat="1" ht="135.75" customHeight="1" x14ac:dyDescent="0.2">
      <c r="N22" s="8" t="str">
        <f>+Names!$B$2</f>
        <v>Luke</v>
      </c>
      <c r="O22" s="8" t="str">
        <f>+Names!$B$3</f>
        <v>Ro</v>
      </c>
      <c r="P22" s="8" t="str">
        <f>+Names!$B$4</f>
        <v>Caleb</v>
      </c>
      <c r="Q22" s="8" t="str">
        <f>+Names!$B$5</f>
        <v>Zau</v>
      </c>
      <c r="R22" s="8" t="str">
        <f>+Names!$B$6</f>
        <v>Brady</v>
      </c>
      <c r="S22" s="8" t="str">
        <f>+Names!$B$7</f>
        <v>Theo</v>
      </c>
      <c r="T22" s="8" t="str">
        <f>+Names!$B$8</f>
        <v>Jonathan</v>
      </c>
      <c r="U22" s="8" t="str">
        <f>+Names!$B$9</f>
        <v>Brenton</v>
      </c>
      <c r="V22" s="8" t="str">
        <f>+Names!$B$10</f>
        <v>Jospe</v>
      </c>
    </row>
  </sheetData>
  <sheetProtection sheet="1" objects="1" scenarios="1" selectLockedCells="1"/>
  <mergeCells count="21">
    <mergeCell ref="F1:Y1"/>
    <mergeCell ref="K19:M19"/>
    <mergeCell ref="K20:M20"/>
    <mergeCell ref="S3:U3"/>
    <mergeCell ref="S4:U4"/>
    <mergeCell ref="S5:U5"/>
    <mergeCell ref="M3:N3"/>
    <mergeCell ref="F2:G2"/>
    <mergeCell ref="F3:G3"/>
    <mergeCell ref="N8:V8"/>
    <mergeCell ref="K8:M8"/>
    <mergeCell ref="R2:U2"/>
    <mergeCell ref="G8:I8"/>
    <mergeCell ref="F5:G5"/>
    <mergeCell ref="F6:G6"/>
    <mergeCell ref="M5:N5"/>
    <mergeCell ref="I2:L2"/>
    <mergeCell ref="M4:N4"/>
    <mergeCell ref="M2:N2"/>
    <mergeCell ref="F4:G4"/>
    <mergeCell ref="M6:N6"/>
  </mergeCells>
  <phoneticPr fontId="14" type="noConversion"/>
  <conditionalFormatting sqref="F10:F18">
    <cfRule type="expression" dxfId="149" priority="31" stopIfTrue="1">
      <formula>$H$2=F10</formula>
    </cfRule>
  </conditionalFormatting>
  <conditionalFormatting sqref="G10">
    <cfRule type="expression" dxfId="148" priority="13" stopIfTrue="1">
      <formula>$K$10=1</formula>
    </cfRule>
    <cfRule type="expression" dxfId="147" priority="14" stopIfTrue="1">
      <formula>$L$10=1</formula>
    </cfRule>
    <cfRule type="expression" dxfId="146" priority="15" stopIfTrue="1">
      <formula>$M$10=1</formula>
    </cfRule>
  </conditionalFormatting>
  <conditionalFormatting sqref="G11:G18">
    <cfRule type="expression" dxfId="145" priority="16" stopIfTrue="1">
      <formula>K11=1</formula>
    </cfRule>
    <cfRule type="expression" dxfId="144" priority="17" stopIfTrue="1">
      <formula>L11=1</formula>
    </cfRule>
    <cfRule type="expression" dxfId="143" priority="18" stopIfTrue="1">
      <formula>M11=1</formula>
    </cfRule>
  </conditionalFormatting>
  <conditionalFormatting sqref="H10:H18">
    <cfRule type="expression" dxfId="142" priority="19" stopIfTrue="1">
      <formula>K10=2</formula>
    </cfRule>
    <cfRule type="expression" dxfId="141" priority="20" stopIfTrue="1">
      <formula>L10=2</formula>
    </cfRule>
    <cfRule type="expression" dxfId="140" priority="21" stopIfTrue="1">
      <formula>M10=2</formula>
    </cfRule>
  </conditionalFormatting>
  <conditionalFormatting sqref="I10:I18">
    <cfRule type="expression" dxfId="139" priority="22" stopIfTrue="1">
      <formula>K10=3</formula>
    </cfRule>
    <cfRule type="expression" dxfId="138" priority="23" stopIfTrue="1">
      <formula>L10=3</formula>
    </cfRule>
    <cfRule type="expression" dxfId="137" priority="24" stopIfTrue="1">
      <formula>M10=3</formula>
    </cfRule>
  </conditionalFormatting>
  <conditionalFormatting sqref="I3:N6">
    <cfRule type="expression" dxfId="136" priority="28" stopIfTrue="1">
      <formula>$M3="1st"</formula>
    </cfRule>
    <cfRule type="expression" dxfId="135" priority="29" stopIfTrue="1">
      <formula>$M3="2nd"</formula>
    </cfRule>
    <cfRule type="expression" dxfId="134" priority="30" stopIfTrue="1">
      <formula>$M3="3rd"</formula>
    </cfRule>
  </conditionalFormatting>
  <conditionalFormatting sqref="J10:J18">
    <cfRule type="expression" dxfId="133" priority="25" stopIfTrue="1">
      <formula>K10=4</formula>
    </cfRule>
    <cfRule type="expression" dxfId="132" priority="26" stopIfTrue="1">
      <formula>L10=4</formula>
    </cfRule>
    <cfRule type="expression" dxfId="131" priority="27" stopIfTrue="1">
      <formula>M10=4</formula>
    </cfRule>
  </conditionalFormatting>
  <conditionalFormatting sqref="N10:V18">
    <cfRule type="cellIs" dxfId="130" priority="10" stopIfTrue="1" operator="equal">
      <formula>3</formula>
    </cfRule>
    <cfRule type="cellIs" dxfId="129" priority="11" stopIfTrue="1" operator="equal">
      <formula>2</formula>
    </cfRule>
    <cfRule type="cellIs" dxfId="128" priority="12" stopIfTrue="1" operator="equal">
      <formula>1</formula>
    </cfRule>
  </conditionalFormatting>
  <conditionalFormatting sqref="N20:V20">
    <cfRule type="cellIs" dxfId="127" priority="1" operator="equal">
      <formula>3</formula>
    </cfRule>
    <cfRule type="cellIs" dxfId="126" priority="2" operator="equal">
      <formula>2</formula>
    </cfRule>
    <cfRule type="cellIs" dxfId="125" priority="3" operator="equal">
      <formula>1</formula>
    </cfRule>
  </conditionalFormatting>
  <pageMargins left="0.75" right="0.75" top="1" bottom="1" header="0.5" footer="0.5"/>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17"/>
  <dimension ref="B1:Y21"/>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3" width="4.7109375" customWidth="1"/>
    <col min="24" max="24" width="5.140625" customWidth="1"/>
    <col min="25" max="25" width="5.28515625" customWidth="1"/>
  </cols>
  <sheetData>
    <row r="1" spans="2:25"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row>
    <row r="2" spans="2:25" s="29" customFormat="1" ht="22.5" x14ac:dyDescent="0.45">
      <c r="F2" s="133" t="s">
        <v>2</v>
      </c>
      <c r="G2" s="134"/>
      <c r="H2" s="21">
        <v>1</v>
      </c>
      <c r="I2" s="135" t="str">
        <f>+Names!$C$1</f>
        <v>Driver</v>
      </c>
      <c r="J2" s="136"/>
      <c r="K2" s="136"/>
      <c r="L2" s="137"/>
      <c r="M2" s="130" t="s">
        <v>8</v>
      </c>
      <c r="N2" s="130"/>
      <c r="R2" s="138" t="s">
        <v>12</v>
      </c>
      <c r="S2" s="139"/>
      <c r="T2" s="139"/>
      <c r="U2" s="140"/>
    </row>
    <row r="3" spans="2:25"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5"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5" s="29" customFormat="1" ht="18.75" x14ac:dyDescent="0.3">
      <c r="E5" s="17"/>
      <c r="F5" s="128" t="s">
        <v>6</v>
      </c>
      <c r="G5" s="129"/>
      <c r="H5" s="3">
        <f ca="1">INDIRECT(ADDRESS(INDIRECT(ADDRESS($H$2+9,4))+1,1,,,"Names"))</f>
        <v>8</v>
      </c>
      <c r="I5" s="84" t="str">
        <f ca="1">INDIRECT(ADDRESS(INDIRECT(ADDRESS($H$2+9,4))+1,2,,,"Names"))</f>
        <v>Brenton</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5" s="29" customFormat="1" ht="18.75" hidden="1" x14ac:dyDescent="0.3">
      <c r="E6" s="17"/>
      <c r="F6" s="128"/>
      <c r="G6" s="129"/>
      <c r="H6" s="3"/>
      <c r="I6" s="84"/>
      <c r="J6" s="85"/>
      <c r="K6" s="85"/>
      <c r="L6" s="86"/>
      <c r="M6" s="130"/>
      <c r="N6" s="130"/>
      <c r="R6"/>
      <c r="S6" s="26"/>
      <c r="T6" s="26"/>
      <c r="U6" s="26"/>
    </row>
    <row r="7" spans="2:25" ht="13.5" thickBot="1" x14ac:dyDescent="0.25">
      <c r="E7" s="28"/>
    </row>
    <row r="8" spans="2:25" s="30" customFormat="1" ht="16.5" thickBot="1" x14ac:dyDescent="0.25">
      <c r="G8" s="144" t="s">
        <v>3</v>
      </c>
      <c r="H8" s="145"/>
      <c r="I8" s="145"/>
      <c r="J8" s="83"/>
      <c r="K8" s="154" t="s">
        <v>34</v>
      </c>
      <c r="L8" s="147"/>
      <c r="M8" s="148"/>
      <c r="N8" s="144" t="s">
        <v>13</v>
      </c>
      <c r="O8" s="145"/>
      <c r="P8" s="145"/>
      <c r="Q8" s="145"/>
      <c r="R8" s="145"/>
      <c r="S8" s="145"/>
      <c r="T8" s="145"/>
      <c r="U8" s="146"/>
    </row>
    <row r="9" spans="2:25"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7">
        <f>+Names!$A$7</f>
        <v>6</v>
      </c>
      <c r="T9" s="57">
        <f>+Names!$A$8</f>
        <v>7</v>
      </c>
      <c r="U9" s="58">
        <f>+Names!$A$9</f>
        <v>8</v>
      </c>
    </row>
    <row r="10" spans="2:25" s="30" customFormat="1" ht="15.75" x14ac:dyDescent="0.25">
      <c r="B10" s="36">
        <v>1</v>
      </c>
      <c r="C10" s="36">
        <v>3</v>
      </c>
      <c r="D10" s="36">
        <v>8</v>
      </c>
      <c r="E10" s="36"/>
      <c r="F10" s="72">
        <v>1</v>
      </c>
      <c r="G10" s="37">
        <f t="shared" ref="G10:G17" ca="1" si="0">INDIRECT(ADDRESS(B10+1,1,,,"Names"))</f>
        <v>1</v>
      </c>
      <c r="H10" s="18">
        <f t="shared" ref="H10:H17" ca="1" si="1">INDIRECT(ADDRESS(C10+1,1,,,"Names"))</f>
        <v>3</v>
      </c>
      <c r="I10" s="38">
        <f t="shared" ref="I10:I17" ca="1" si="2">INDIRECT(ADDRESS(D10+1,1,,,"Names"))</f>
        <v>8</v>
      </c>
      <c r="J10" s="91"/>
      <c r="K10" s="49"/>
      <c r="L10" s="81"/>
      <c r="M10" s="77"/>
      <c r="N10" s="88" t="str">
        <f t="shared" ref="N10:U17"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89" t="str">
        <f t="shared" si="3"/>
        <v/>
      </c>
      <c r="T10" s="89" t="str">
        <f t="shared" si="3"/>
        <v/>
      </c>
      <c r="U10" s="90" t="str">
        <f t="shared" si="3"/>
        <v xml:space="preserve"> </v>
      </c>
    </row>
    <row r="11" spans="2:25" s="30" customFormat="1" ht="15.75" x14ac:dyDescent="0.25">
      <c r="B11" s="36">
        <v>5</v>
      </c>
      <c r="C11" s="36">
        <v>7</v>
      </c>
      <c r="D11" s="36">
        <v>4</v>
      </c>
      <c r="E11" s="36"/>
      <c r="F11" s="73">
        <v>2</v>
      </c>
      <c r="G11" s="4">
        <f t="shared" ca="1" si="0"/>
        <v>5</v>
      </c>
      <c r="H11" s="19">
        <f t="shared" ca="1" si="1"/>
        <v>7</v>
      </c>
      <c r="I11" s="69">
        <f t="shared" ca="1" si="2"/>
        <v>4</v>
      </c>
      <c r="J11" s="92"/>
      <c r="K11" s="97"/>
      <c r="L11" s="76"/>
      <c r="M11" s="98"/>
      <c r="N11" s="32" t="str">
        <f t="shared" si="3"/>
        <v/>
      </c>
      <c r="O11" s="15" t="str">
        <f t="shared" si="3"/>
        <v/>
      </c>
      <c r="P11" s="15" t="str">
        <f t="shared" si="3"/>
        <v/>
      </c>
      <c r="Q11" s="15" t="str">
        <f t="shared" si="3"/>
        <v xml:space="preserve"> </v>
      </c>
      <c r="R11" s="15" t="str">
        <f t="shared" si="3"/>
        <v xml:space="preserve"> </v>
      </c>
      <c r="S11" s="15" t="str">
        <f t="shared" si="3"/>
        <v/>
      </c>
      <c r="T11" s="15" t="str">
        <f t="shared" si="3"/>
        <v xml:space="preserve"> </v>
      </c>
      <c r="U11" s="5" t="str">
        <f t="shared" si="3"/>
        <v/>
      </c>
    </row>
    <row r="12" spans="2:25" s="30" customFormat="1" ht="15.75" x14ac:dyDescent="0.25">
      <c r="B12" s="36">
        <v>2</v>
      </c>
      <c r="C12" s="36">
        <v>4</v>
      </c>
      <c r="D12" s="36">
        <v>1</v>
      </c>
      <c r="E12" s="36"/>
      <c r="F12" s="73">
        <v>3</v>
      </c>
      <c r="G12" s="4">
        <f t="shared" ca="1" si="0"/>
        <v>2</v>
      </c>
      <c r="H12" s="19">
        <f t="shared" ca="1" si="1"/>
        <v>4</v>
      </c>
      <c r="I12" s="69">
        <f t="shared" ca="1" si="2"/>
        <v>1</v>
      </c>
      <c r="J12" s="92"/>
      <c r="K12" s="97"/>
      <c r="L12" s="76"/>
      <c r="M12" s="98"/>
      <c r="N12" s="32" t="str">
        <f t="shared" si="3"/>
        <v xml:space="preserve"> </v>
      </c>
      <c r="O12" s="15" t="str">
        <f t="shared" si="3"/>
        <v xml:space="preserve"> </v>
      </c>
      <c r="P12" s="15" t="str">
        <f t="shared" si="3"/>
        <v/>
      </c>
      <c r="Q12" s="15" t="str">
        <f t="shared" si="3"/>
        <v xml:space="preserve"> </v>
      </c>
      <c r="R12" s="15" t="str">
        <f t="shared" si="3"/>
        <v/>
      </c>
      <c r="S12" s="15" t="str">
        <f t="shared" si="3"/>
        <v/>
      </c>
      <c r="T12" s="15" t="str">
        <f t="shared" si="3"/>
        <v/>
      </c>
      <c r="U12" s="5" t="str">
        <f t="shared" si="3"/>
        <v/>
      </c>
    </row>
    <row r="13" spans="2:25" s="30" customFormat="1" ht="15.75" x14ac:dyDescent="0.25">
      <c r="B13" s="36">
        <v>6</v>
      </c>
      <c r="C13" s="36">
        <v>8</v>
      </c>
      <c r="D13" s="36">
        <v>5</v>
      </c>
      <c r="E13" s="36"/>
      <c r="F13" s="73">
        <v>4</v>
      </c>
      <c r="G13" s="4">
        <f t="shared" ca="1" si="0"/>
        <v>6</v>
      </c>
      <c r="H13" s="19">
        <f t="shared" ca="1" si="1"/>
        <v>8</v>
      </c>
      <c r="I13" s="69">
        <f t="shared" ca="1" si="2"/>
        <v>5</v>
      </c>
      <c r="J13" s="92"/>
      <c r="K13" s="97"/>
      <c r="L13" s="76"/>
      <c r="M13" s="98"/>
      <c r="N13" s="32" t="str">
        <f t="shared" si="3"/>
        <v/>
      </c>
      <c r="O13" s="15" t="str">
        <f t="shared" si="3"/>
        <v/>
      </c>
      <c r="P13" s="15" t="str">
        <f t="shared" si="3"/>
        <v/>
      </c>
      <c r="Q13" s="15" t="str">
        <f t="shared" si="3"/>
        <v/>
      </c>
      <c r="R13" s="15" t="str">
        <f t="shared" si="3"/>
        <v xml:space="preserve"> </v>
      </c>
      <c r="S13" s="15" t="str">
        <f t="shared" si="3"/>
        <v xml:space="preserve"> </v>
      </c>
      <c r="T13" s="15" t="str">
        <f t="shared" si="3"/>
        <v/>
      </c>
      <c r="U13" s="5" t="str">
        <f t="shared" si="3"/>
        <v xml:space="preserve"> </v>
      </c>
    </row>
    <row r="14" spans="2:25" s="30" customFormat="1" ht="15.75" x14ac:dyDescent="0.25">
      <c r="B14" s="36">
        <v>3</v>
      </c>
      <c r="C14" s="36">
        <v>5</v>
      </c>
      <c r="D14" s="36">
        <v>2</v>
      </c>
      <c r="E14" s="36"/>
      <c r="F14" s="73">
        <v>5</v>
      </c>
      <c r="G14" s="4">
        <f t="shared" ca="1" si="0"/>
        <v>3</v>
      </c>
      <c r="H14" s="19">
        <f t="shared" ca="1" si="1"/>
        <v>5</v>
      </c>
      <c r="I14" s="69">
        <f t="shared" ca="1" si="2"/>
        <v>2</v>
      </c>
      <c r="J14" s="92"/>
      <c r="K14" s="97"/>
      <c r="L14" s="76"/>
      <c r="M14" s="98"/>
      <c r="N14" s="32" t="str">
        <f t="shared" si="3"/>
        <v/>
      </c>
      <c r="O14" s="15" t="str">
        <f t="shared" si="3"/>
        <v xml:space="preserve"> </v>
      </c>
      <c r="P14" s="15" t="str">
        <f t="shared" si="3"/>
        <v xml:space="preserve"> </v>
      </c>
      <c r="Q14" s="15" t="str">
        <f t="shared" si="3"/>
        <v/>
      </c>
      <c r="R14" s="15" t="str">
        <f t="shared" si="3"/>
        <v xml:space="preserve"> </v>
      </c>
      <c r="S14" s="15" t="str">
        <f t="shared" si="3"/>
        <v/>
      </c>
      <c r="T14" s="15" t="str">
        <f t="shared" si="3"/>
        <v/>
      </c>
      <c r="U14" s="5" t="str">
        <f t="shared" si="3"/>
        <v/>
      </c>
    </row>
    <row r="15" spans="2:25" s="30" customFormat="1" ht="15.75" x14ac:dyDescent="0.25">
      <c r="B15" s="36">
        <v>7</v>
      </c>
      <c r="C15" s="36">
        <v>1</v>
      </c>
      <c r="D15" s="36">
        <v>6</v>
      </c>
      <c r="E15" s="36"/>
      <c r="F15" s="73">
        <v>6</v>
      </c>
      <c r="G15" s="4">
        <f t="shared" ca="1" si="0"/>
        <v>7</v>
      </c>
      <c r="H15" s="19">
        <f t="shared" ca="1" si="1"/>
        <v>1</v>
      </c>
      <c r="I15" s="69">
        <f t="shared" ca="1" si="2"/>
        <v>6</v>
      </c>
      <c r="J15" s="92"/>
      <c r="K15" s="97"/>
      <c r="L15" s="76"/>
      <c r="M15" s="98"/>
      <c r="N15" s="32" t="str">
        <f t="shared" si="3"/>
        <v xml:space="preserve"> </v>
      </c>
      <c r="O15" s="15" t="str">
        <f t="shared" si="3"/>
        <v/>
      </c>
      <c r="P15" s="15" t="str">
        <f t="shared" si="3"/>
        <v/>
      </c>
      <c r="Q15" s="15" t="str">
        <f t="shared" si="3"/>
        <v/>
      </c>
      <c r="R15" s="15" t="str">
        <f t="shared" si="3"/>
        <v/>
      </c>
      <c r="S15" s="15" t="str">
        <f t="shared" si="3"/>
        <v xml:space="preserve"> </v>
      </c>
      <c r="T15" s="15" t="str">
        <f t="shared" si="3"/>
        <v xml:space="preserve"> </v>
      </c>
      <c r="U15" s="5" t="str">
        <f t="shared" si="3"/>
        <v/>
      </c>
    </row>
    <row r="16" spans="2:25" s="30" customFormat="1" ht="15.75" x14ac:dyDescent="0.25">
      <c r="B16" s="36">
        <v>4</v>
      </c>
      <c r="C16" s="36">
        <v>6</v>
      </c>
      <c r="D16" s="36">
        <v>3</v>
      </c>
      <c r="E16" s="36"/>
      <c r="F16" s="73">
        <v>7</v>
      </c>
      <c r="G16" s="4">
        <f t="shared" ca="1" si="0"/>
        <v>4</v>
      </c>
      <c r="H16" s="19">
        <f t="shared" ca="1" si="1"/>
        <v>6</v>
      </c>
      <c r="I16" s="69">
        <f t="shared" ca="1" si="2"/>
        <v>3</v>
      </c>
      <c r="J16" s="92"/>
      <c r="K16" s="97"/>
      <c r="L16" s="76"/>
      <c r="M16" s="98"/>
      <c r="N16" s="32" t="str">
        <f t="shared" si="3"/>
        <v/>
      </c>
      <c r="O16" s="15" t="str">
        <f t="shared" si="3"/>
        <v/>
      </c>
      <c r="P16" s="15" t="str">
        <f t="shared" si="3"/>
        <v xml:space="preserve"> </v>
      </c>
      <c r="Q16" s="15" t="str">
        <f t="shared" si="3"/>
        <v xml:space="preserve"> </v>
      </c>
      <c r="R16" s="15" t="str">
        <f t="shared" si="3"/>
        <v/>
      </c>
      <c r="S16" s="15" t="str">
        <f t="shared" si="3"/>
        <v xml:space="preserve"> </v>
      </c>
      <c r="T16" s="15" t="str">
        <f t="shared" si="3"/>
        <v/>
      </c>
      <c r="U16" s="5" t="str">
        <f t="shared" si="3"/>
        <v/>
      </c>
    </row>
    <row r="17" spans="2:21" s="30" customFormat="1" ht="16.5" thickBot="1" x14ac:dyDescent="0.3">
      <c r="B17" s="36">
        <v>8</v>
      </c>
      <c r="C17" s="36">
        <v>2</v>
      </c>
      <c r="D17" s="36">
        <v>7</v>
      </c>
      <c r="E17" s="36"/>
      <c r="F17" s="74">
        <v>8</v>
      </c>
      <c r="G17" s="6">
        <f t="shared" ca="1" si="0"/>
        <v>8</v>
      </c>
      <c r="H17" s="39">
        <f t="shared" ca="1" si="1"/>
        <v>2</v>
      </c>
      <c r="I17" s="40">
        <f t="shared" ca="1" si="2"/>
        <v>7</v>
      </c>
      <c r="J17" s="93"/>
      <c r="K17" s="99"/>
      <c r="L17" s="100"/>
      <c r="M17" s="101"/>
      <c r="N17" s="20" t="str">
        <f t="shared" si="3"/>
        <v/>
      </c>
      <c r="O17" s="16" t="str">
        <f t="shared" si="3"/>
        <v xml:space="preserve"> </v>
      </c>
      <c r="P17" s="16" t="str">
        <f t="shared" si="3"/>
        <v/>
      </c>
      <c r="Q17" s="16" t="str">
        <f t="shared" si="3"/>
        <v/>
      </c>
      <c r="R17" s="16" t="str">
        <f t="shared" si="3"/>
        <v/>
      </c>
      <c r="S17" s="16" t="str">
        <f t="shared" si="3"/>
        <v/>
      </c>
      <c r="T17" s="16" t="str">
        <f t="shared" si="3"/>
        <v xml:space="preserve"> </v>
      </c>
      <c r="U17" s="43" t="str">
        <f t="shared" si="3"/>
        <v xml:space="preserve"> </v>
      </c>
    </row>
    <row r="18" spans="2:21" ht="15.75" x14ac:dyDescent="0.25">
      <c r="K18" s="156" t="s">
        <v>4</v>
      </c>
      <c r="L18" s="157"/>
      <c r="M18" s="158"/>
      <c r="N18" s="44" t="str">
        <f t="shared" ref="N18:U18" si="4">IF(SUM(N10:N17)&lt;1," ",SUM(N10:N17))</f>
        <v xml:space="preserve"> </v>
      </c>
      <c r="O18" s="45" t="str">
        <f t="shared" si="4"/>
        <v xml:space="preserve"> </v>
      </c>
      <c r="P18" s="45" t="str">
        <f t="shared" si="4"/>
        <v xml:space="preserve"> </v>
      </c>
      <c r="Q18" s="45" t="str">
        <f t="shared" si="4"/>
        <v xml:space="preserve"> </v>
      </c>
      <c r="R18" s="45" t="str">
        <f t="shared" si="4"/>
        <v xml:space="preserve"> </v>
      </c>
      <c r="S18" s="45" t="str">
        <f t="shared" si="4"/>
        <v xml:space="preserve"> </v>
      </c>
      <c r="T18" s="45" t="str">
        <f t="shared" si="4"/>
        <v xml:space="preserve"> </v>
      </c>
      <c r="U18" s="46" t="str">
        <f t="shared" si="4"/>
        <v xml:space="preserve"> </v>
      </c>
    </row>
    <row r="19" spans="2:21" ht="16.5" thickBot="1" x14ac:dyDescent="0.3">
      <c r="K19" s="141" t="s">
        <v>5</v>
      </c>
      <c r="L19" s="142"/>
      <c r="M19" s="143"/>
      <c r="N19" s="120" t="e">
        <f>RANK(N18,$N18:$AL18,0)</f>
        <v>#VALUE!</v>
      </c>
      <c r="O19" s="121" t="e">
        <f t="shared" ref="O19:U19" si="5">RANK(O18,$N18:$AL18,0)</f>
        <v>#VALUE!</v>
      </c>
      <c r="P19" s="121" t="e">
        <f t="shared" si="5"/>
        <v>#VALUE!</v>
      </c>
      <c r="Q19" s="121" t="e">
        <f t="shared" si="5"/>
        <v>#VALUE!</v>
      </c>
      <c r="R19" s="121" t="e">
        <f t="shared" si="5"/>
        <v>#VALUE!</v>
      </c>
      <c r="S19" s="121" t="e">
        <f t="shared" si="5"/>
        <v>#VALUE!</v>
      </c>
      <c r="T19" s="121" t="e">
        <f t="shared" si="5"/>
        <v>#VALUE!</v>
      </c>
      <c r="U19" s="122" t="e">
        <f t="shared" si="5"/>
        <v>#VALUE!</v>
      </c>
    </row>
    <row r="20" spans="2:21" x14ac:dyDescent="0.2">
      <c r="N20" s="7"/>
      <c r="O20" s="7"/>
      <c r="P20" s="7"/>
      <c r="Q20" s="7"/>
    </row>
    <row r="21" spans="2:21" s="31" customFormat="1" ht="135.75" customHeight="1" x14ac:dyDescent="0.2">
      <c r="N21" s="8" t="str">
        <f>+Names!$B$2</f>
        <v>Luke</v>
      </c>
      <c r="O21" s="8" t="str">
        <f>+Names!$B$3</f>
        <v>Ro</v>
      </c>
      <c r="P21" s="8" t="str">
        <f>+Names!$B$4</f>
        <v>Caleb</v>
      </c>
      <c r="Q21" s="8" t="str">
        <f>+Names!$B$5</f>
        <v>Zau</v>
      </c>
      <c r="R21" s="8" t="str">
        <f>+Names!$B$6</f>
        <v>Brady</v>
      </c>
      <c r="S21" s="8" t="str">
        <f>+Names!$B$7</f>
        <v>Theo</v>
      </c>
      <c r="T21" s="8" t="str">
        <f>+Names!$B$8</f>
        <v>Jonathan</v>
      </c>
      <c r="U21" s="8" t="str">
        <f>+Names!$B$9</f>
        <v>Brenton</v>
      </c>
    </row>
  </sheetData>
  <sheetProtection sheet="1" objects="1" scenarios="1" selectLockedCells="1"/>
  <mergeCells count="21">
    <mergeCell ref="F1:Y1"/>
    <mergeCell ref="K18:M18"/>
    <mergeCell ref="K19:M19"/>
    <mergeCell ref="S3:U3"/>
    <mergeCell ref="S4:U4"/>
    <mergeCell ref="S5:U5"/>
    <mergeCell ref="M3:N3"/>
    <mergeCell ref="F2:G2"/>
    <mergeCell ref="F3:G3"/>
    <mergeCell ref="N8:U8"/>
    <mergeCell ref="K8:M8"/>
    <mergeCell ref="R2:U2"/>
    <mergeCell ref="G8:I8"/>
    <mergeCell ref="F5:G5"/>
    <mergeCell ref="F6:G6"/>
    <mergeCell ref="M5:N5"/>
    <mergeCell ref="I2:L2"/>
    <mergeCell ref="M4:N4"/>
    <mergeCell ref="M2:N2"/>
    <mergeCell ref="F4:G4"/>
    <mergeCell ref="M6:N6"/>
  </mergeCells>
  <phoneticPr fontId="14" type="noConversion"/>
  <conditionalFormatting sqref="F10:F17">
    <cfRule type="expression" dxfId="124" priority="31" stopIfTrue="1">
      <formula>$H$2=F10</formula>
    </cfRule>
  </conditionalFormatting>
  <conditionalFormatting sqref="G10">
    <cfRule type="expression" dxfId="123" priority="13" stopIfTrue="1">
      <formula>$K$10=1</formula>
    </cfRule>
    <cfRule type="expression" dxfId="122" priority="14" stopIfTrue="1">
      <formula>$L$10=1</formula>
    </cfRule>
    <cfRule type="expression" dxfId="121" priority="15" stopIfTrue="1">
      <formula>$M$10=1</formula>
    </cfRule>
  </conditionalFormatting>
  <conditionalFormatting sqref="G11:G17">
    <cfRule type="expression" dxfId="120" priority="16" stopIfTrue="1">
      <formula>K11=1</formula>
    </cfRule>
    <cfRule type="expression" dxfId="119" priority="17" stopIfTrue="1">
      <formula>L11=1</formula>
    </cfRule>
    <cfRule type="expression" dxfId="118" priority="18" stopIfTrue="1">
      <formula>M11=1</formula>
    </cfRule>
  </conditionalFormatting>
  <conditionalFormatting sqref="H10:H17">
    <cfRule type="expression" dxfId="117" priority="19" stopIfTrue="1">
      <formula>K10=2</formula>
    </cfRule>
    <cfRule type="expression" dxfId="116" priority="20" stopIfTrue="1">
      <formula>L10=2</formula>
    </cfRule>
    <cfRule type="expression" dxfId="115" priority="21" stopIfTrue="1">
      <formula>M10=2</formula>
    </cfRule>
  </conditionalFormatting>
  <conditionalFormatting sqref="I10:I17">
    <cfRule type="expression" dxfId="114" priority="22" stopIfTrue="1">
      <formula>K10=3</formula>
    </cfRule>
    <cfRule type="expression" dxfId="113" priority="23" stopIfTrue="1">
      <formula>L10=3</formula>
    </cfRule>
    <cfRule type="expression" dxfId="112" priority="24" stopIfTrue="1">
      <formula>M10=3</formula>
    </cfRule>
  </conditionalFormatting>
  <conditionalFormatting sqref="I3:N6">
    <cfRule type="expression" dxfId="111" priority="28" stopIfTrue="1">
      <formula>$M3="1st"</formula>
    </cfRule>
    <cfRule type="expression" dxfId="110" priority="29" stopIfTrue="1">
      <formula>$M3="2nd"</formula>
    </cfRule>
    <cfRule type="expression" dxfId="109" priority="30" stopIfTrue="1">
      <formula>$M3="3rd"</formula>
    </cfRule>
  </conditionalFormatting>
  <conditionalFormatting sqref="J10:J17">
    <cfRule type="expression" dxfId="108" priority="25" stopIfTrue="1">
      <formula>K10=4</formula>
    </cfRule>
    <cfRule type="expression" dxfId="107" priority="26" stopIfTrue="1">
      <formula>L10=4</formula>
    </cfRule>
    <cfRule type="expression" dxfId="106" priority="27" stopIfTrue="1">
      <formula>M10=4</formula>
    </cfRule>
  </conditionalFormatting>
  <conditionalFormatting sqref="N10:U17">
    <cfRule type="cellIs" dxfId="105" priority="10" stopIfTrue="1" operator="equal">
      <formula>3</formula>
    </cfRule>
    <cfRule type="cellIs" dxfId="104" priority="11" stopIfTrue="1" operator="equal">
      <formula>2</formula>
    </cfRule>
    <cfRule type="cellIs" dxfId="103" priority="12" stopIfTrue="1" operator="equal">
      <formula>1</formula>
    </cfRule>
  </conditionalFormatting>
  <conditionalFormatting sqref="N19:U19">
    <cfRule type="cellIs" dxfId="102" priority="1" operator="equal">
      <formula>3</formula>
    </cfRule>
    <cfRule type="cellIs" dxfId="101" priority="2" operator="equal">
      <formula>2</formula>
    </cfRule>
    <cfRule type="cellIs" dxfId="100" priority="3" operator="equal">
      <formula>1</formula>
    </cfRule>
  </conditionalFormatting>
  <pageMargins left="0.75" right="0.75" top="1" bottom="1"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18"/>
  <dimension ref="B1:Y20"/>
  <sheetViews>
    <sheetView showGridLines="0" zoomScaleNormal="100" workbookViewId="0">
      <selection activeCell="T18" sqref="T18"/>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23" width="4.7109375" customWidth="1"/>
    <col min="24" max="24" width="5.140625" customWidth="1"/>
    <col min="25" max="25" width="5.28515625" customWidth="1"/>
  </cols>
  <sheetData>
    <row r="1" spans="2:25"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row>
    <row r="2" spans="2:25" s="29" customFormat="1" ht="22.5" x14ac:dyDescent="0.45">
      <c r="F2" s="133" t="s">
        <v>2</v>
      </c>
      <c r="G2" s="134"/>
      <c r="H2" s="21">
        <v>1</v>
      </c>
      <c r="I2" s="135" t="str">
        <f>+Names!$C$1</f>
        <v>Driver</v>
      </c>
      <c r="J2" s="136"/>
      <c r="K2" s="136"/>
      <c r="L2" s="137"/>
      <c r="M2" s="130" t="s">
        <v>8</v>
      </c>
      <c r="N2" s="130"/>
      <c r="R2" s="138" t="s">
        <v>12</v>
      </c>
      <c r="S2" s="139"/>
      <c r="T2" s="139"/>
      <c r="U2" s="140"/>
    </row>
    <row r="3" spans="2:25"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25"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25" s="29" customFormat="1" ht="18.75" x14ac:dyDescent="0.3">
      <c r="E5" s="17"/>
      <c r="F5" s="128" t="s">
        <v>6</v>
      </c>
      <c r="G5" s="129"/>
      <c r="H5" s="3">
        <f ca="1">INDIRECT(ADDRESS(INDIRECT(ADDRESS($H$2+9,4))+1,1,,,"Names"))</f>
        <v>7</v>
      </c>
      <c r="I5" s="84" t="str">
        <f ca="1">INDIRECT(ADDRESS(INDIRECT(ADDRESS($H$2+9,4))+1,2,,,"Names"))</f>
        <v>Jonathan</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25" s="29" customFormat="1" ht="18.75" hidden="1" x14ac:dyDescent="0.3">
      <c r="E6" s="17"/>
      <c r="F6" s="128"/>
      <c r="G6" s="129"/>
      <c r="H6" s="3"/>
      <c r="I6" s="84"/>
      <c r="J6" s="85"/>
      <c r="K6" s="85"/>
      <c r="L6" s="86"/>
      <c r="M6" s="130"/>
      <c r="N6" s="130"/>
      <c r="R6"/>
      <c r="S6" s="26"/>
      <c r="T6" s="26"/>
      <c r="U6" s="26"/>
    </row>
    <row r="7" spans="2:25" ht="13.5" thickBot="1" x14ac:dyDescent="0.25">
      <c r="E7" s="28"/>
    </row>
    <row r="8" spans="2:25" s="30" customFormat="1" ht="16.5" thickBot="1" x14ac:dyDescent="0.25">
      <c r="G8" s="144" t="s">
        <v>3</v>
      </c>
      <c r="H8" s="145"/>
      <c r="I8" s="145"/>
      <c r="J8" s="83"/>
      <c r="K8" s="154" t="s">
        <v>34</v>
      </c>
      <c r="L8" s="147"/>
      <c r="M8" s="148"/>
      <c r="N8" s="144" t="s">
        <v>13</v>
      </c>
      <c r="O8" s="145"/>
      <c r="P8" s="145"/>
      <c r="Q8" s="145"/>
      <c r="R8" s="145"/>
      <c r="S8" s="145"/>
      <c r="T8" s="146"/>
    </row>
    <row r="9" spans="2:25"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7">
        <f>+Names!$A$7</f>
        <v>6</v>
      </c>
      <c r="T9" s="58">
        <f>+Names!$A$8</f>
        <v>7</v>
      </c>
    </row>
    <row r="10" spans="2:25" s="30" customFormat="1" ht="15.75" x14ac:dyDescent="0.25">
      <c r="B10" s="36">
        <v>1</v>
      </c>
      <c r="C10" s="36">
        <v>3</v>
      </c>
      <c r="D10" s="36">
        <v>7</v>
      </c>
      <c r="E10" s="36"/>
      <c r="F10" s="72">
        <v>1</v>
      </c>
      <c r="G10" s="37">
        <f t="shared" ref="G10:G16" ca="1" si="0">INDIRECT(ADDRESS(B10+1,1,,,"Names"))</f>
        <v>1</v>
      </c>
      <c r="H10" s="18">
        <f t="shared" ref="H10:H16" ca="1" si="1">INDIRECT(ADDRESS(C10+1,1,,,"Names"))</f>
        <v>3</v>
      </c>
      <c r="I10" s="38">
        <f t="shared" ref="I10:I16" ca="1" si="2">INDIRECT(ADDRESS(D10+1,1,,,"Names"))</f>
        <v>7</v>
      </c>
      <c r="J10" s="91"/>
      <c r="K10" s="49"/>
      <c r="L10" s="81"/>
      <c r="M10" s="77"/>
      <c r="N10" s="88" t="str">
        <f t="shared" ref="N10:T16"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89" t="str">
        <f t="shared" si="3"/>
        <v/>
      </c>
      <c r="T10" s="90" t="str">
        <f t="shared" si="3"/>
        <v xml:space="preserve"> </v>
      </c>
    </row>
    <row r="11" spans="2:25" s="30" customFormat="1" ht="15.75" x14ac:dyDescent="0.25">
      <c r="B11" s="36">
        <v>2</v>
      </c>
      <c r="C11" s="36">
        <v>4</v>
      </c>
      <c r="D11" s="36">
        <v>1</v>
      </c>
      <c r="E11" s="36"/>
      <c r="F11" s="73">
        <v>2</v>
      </c>
      <c r="G11" s="4">
        <f t="shared" ca="1" si="0"/>
        <v>2</v>
      </c>
      <c r="H11" s="19">
        <f t="shared" ca="1" si="1"/>
        <v>4</v>
      </c>
      <c r="I11" s="69">
        <f t="shared" ca="1" si="2"/>
        <v>1</v>
      </c>
      <c r="J11" s="92"/>
      <c r="K11" s="97"/>
      <c r="L11" s="76"/>
      <c r="M11" s="98"/>
      <c r="N11" s="32" t="str">
        <f t="shared" si="3"/>
        <v xml:space="preserve"> </v>
      </c>
      <c r="O11" s="15" t="str">
        <f t="shared" si="3"/>
        <v xml:space="preserve"> </v>
      </c>
      <c r="P11" s="15" t="str">
        <f t="shared" si="3"/>
        <v/>
      </c>
      <c r="Q11" s="15" t="str">
        <f t="shared" si="3"/>
        <v xml:space="preserve"> </v>
      </c>
      <c r="R11" s="15" t="str">
        <f t="shared" si="3"/>
        <v/>
      </c>
      <c r="S11" s="15" t="str">
        <f t="shared" si="3"/>
        <v/>
      </c>
      <c r="T11" s="5" t="str">
        <f t="shared" si="3"/>
        <v/>
      </c>
    </row>
    <row r="12" spans="2:25" s="30" customFormat="1" ht="15.75" x14ac:dyDescent="0.25">
      <c r="B12" s="36">
        <v>3</v>
      </c>
      <c r="C12" s="36">
        <v>5</v>
      </c>
      <c r="D12" s="36">
        <v>2</v>
      </c>
      <c r="E12" s="36"/>
      <c r="F12" s="73">
        <v>3</v>
      </c>
      <c r="G12" s="4">
        <f t="shared" ca="1" si="0"/>
        <v>3</v>
      </c>
      <c r="H12" s="19">
        <f t="shared" ca="1" si="1"/>
        <v>5</v>
      </c>
      <c r="I12" s="69">
        <f t="shared" ca="1" si="2"/>
        <v>2</v>
      </c>
      <c r="J12" s="92"/>
      <c r="K12" s="97"/>
      <c r="L12" s="76"/>
      <c r="M12" s="98"/>
      <c r="N12" s="32" t="str">
        <f t="shared" si="3"/>
        <v/>
      </c>
      <c r="O12" s="15" t="str">
        <f t="shared" si="3"/>
        <v xml:space="preserve"> </v>
      </c>
      <c r="P12" s="15" t="str">
        <f t="shared" si="3"/>
        <v xml:space="preserve"> </v>
      </c>
      <c r="Q12" s="15" t="str">
        <f t="shared" si="3"/>
        <v/>
      </c>
      <c r="R12" s="15" t="str">
        <f t="shared" si="3"/>
        <v xml:space="preserve"> </v>
      </c>
      <c r="S12" s="15" t="str">
        <f t="shared" si="3"/>
        <v/>
      </c>
      <c r="T12" s="5" t="str">
        <f t="shared" si="3"/>
        <v/>
      </c>
    </row>
    <row r="13" spans="2:25" s="30" customFormat="1" ht="15.75" x14ac:dyDescent="0.25">
      <c r="B13" s="36">
        <v>4</v>
      </c>
      <c r="C13" s="36">
        <v>6</v>
      </c>
      <c r="D13" s="36">
        <v>3</v>
      </c>
      <c r="E13" s="36"/>
      <c r="F13" s="73">
        <v>4</v>
      </c>
      <c r="G13" s="4">
        <f t="shared" ca="1" si="0"/>
        <v>4</v>
      </c>
      <c r="H13" s="19">
        <f t="shared" ca="1" si="1"/>
        <v>6</v>
      </c>
      <c r="I13" s="69">
        <f t="shared" ca="1" si="2"/>
        <v>3</v>
      </c>
      <c r="J13" s="92"/>
      <c r="K13" s="97"/>
      <c r="L13" s="76"/>
      <c r="M13" s="98"/>
      <c r="N13" s="32" t="str">
        <f t="shared" si="3"/>
        <v/>
      </c>
      <c r="O13" s="15" t="str">
        <f t="shared" si="3"/>
        <v/>
      </c>
      <c r="P13" s="15" t="str">
        <f t="shared" si="3"/>
        <v xml:space="preserve"> </v>
      </c>
      <c r="Q13" s="15" t="str">
        <f t="shared" si="3"/>
        <v xml:space="preserve"> </v>
      </c>
      <c r="R13" s="15" t="str">
        <f t="shared" si="3"/>
        <v/>
      </c>
      <c r="S13" s="15" t="str">
        <f t="shared" si="3"/>
        <v xml:space="preserve"> </v>
      </c>
      <c r="T13" s="5" t="str">
        <f t="shared" si="3"/>
        <v/>
      </c>
    </row>
    <row r="14" spans="2:25" s="30" customFormat="1" ht="15.75" x14ac:dyDescent="0.25">
      <c r="B14" s="36">
        <v>5</v>
      </c>
      <c r="C14" s="36">
        <v>7</v>
      </c>
      <c r="D14" s="36">
        <v>4</v>
      </c>
      <c r="E14" s="36"/>
      <c r="F14" s="73">
        <v>5</v>
      </c>
      <c r="G14" s="4">
        <f t="shared" ca="1" si="0"/>
        <v>5</v>
      </c>
      <c r="H14" s="19">
        <f t="shared" ca="1" si="1"/>
        <v>7</v>
      </c>
      <c r="I14" s="69">
        <f t="shared" ca="1" si="2"/>
        <v>4</v>
      </c>
      <c r="J14" s="92"/>
      <c r="K14" s="97"/>
      <c r="L14" s="76"/>
      <c r="M14" s="98"/>
      <c r="N14" s="32" t="str">
        <f t="shared" si="3"/>
        <v/>
      </c>
      <c r="O14" s="15" t="str">
        <f t="shared" si="3"/>
        <v/>
      </c>
      <c r="P14" s="15" t="str">
        <f t="shared" si="3"/>
        <v/>
      </c>
      <c r="Q14" s="15" t="str">
        <f t="shared" si="3"/>
        <v xml:space="preserve"> </v>
      </c>
      <c r="R14" s="15" t="str">
        <f t="shared" si="3"/>
        <v xml:space="preserve"> </v>
      </c>
      <c r="S14" s="15" t="str">
        <f t="shared" si="3"/>
        <v/>
      </c>
      <c r="T14" s="5" t="str">
        <f t="shared" si="3"/>
        <v xml:space="preserve"> </v>
      </c>
    </row>
    <row r="15" spans="2:25" s="30" customFormat="1" ht="15.75" x14ac:dyDescent="0.25">
      <c r="B15" s="36">
        <v>6</v>
      </c>
      <c r="C15" s="36">
        <v>1</v>
      </c>
      <c r="D15" s="36">
        <v>5</v>
      </c>
      <c r="E15" s="36"/>
      <c r="F15" s="73">
        <v>6</v>
      </c>
      <c r="G15" s="4">
        <f t="shared" ca="1" si="0"/>
        <v>6</v>
      </c>
      <c r="H15" s="19">
        <f t="shared" ca="1" si="1"/>
        <v>1</v>
      </c>
      <c r="I15" s="69">
        <f t="shared" ca="1" si="2"/>
        <v>5</v>
      </c>
      <c r="J15" s="92"/>
      <c r="K15" s="97"/>
      <c r="L15" s="76"/>
      <c r="M15" s="98"/>
      <c r="N15" s="32" t="str">
        <f t="shared" si="3"/>
        <v xml:space="preserve"> </v>
      </c>
      <c r="O15" s="15" t="str">
        <f t="shared" si="3"/>
        <v/>
      </c>
      <c r="P15" s="15" t="str">
        <f t="shared" si="3"/>
        <v/>
      </c>
      <c r="Q15" s="15" t="str">
        <f t="shared" si="3"/>
        <v/>
      </c>
      <c r="R15" s="15" t="str">
        <f t="shared" si="3"/>
        <v xml:space="preserve"> </v>
      </c>
      <c r="S15" s="15" t="str">
        <f t="shared" si="3"/>
        <v xml:space="preserve"> </v>
      </c>
      <c r="T15" s="5" t="str">
        <f t="shared" si="3"/>
        <v/>
      </c>
    </row>
    <row r="16" spans="2:25" s="30" customFormat="1" ht="16.5" thickBot="1" x14ac:dyDescent="0.3">
      <c r="B16" s="36">
        <v>7</v>
      </c>
      <c r="C16" s="36">
        <v>2</v>
      </c>
      <c r="D16" s="36">
        <v>6</v>
      </c>
      <c r="E16" s="36"/>
      <c r="F16" s="74">
        <v>7</v>
      </c>
      <c r="G16" s="6">
        <f t="shared" ca="1" si="0"/>
        <v>7</v>
      </c>
      <c r="H16" s="39">
        <f t="shared" ca="1" si="1"/>
        <v>2</v>
      </c>
      <c r="I16" s="40">
        <f t="shared" ca="1" si="2"/>
        <v>6</v>
      </c>
      <c r="J16" s="93"/>
      <c r="K16" s="99"/>
      <c r="L16" s="100"/>
      <c r="M16" s="101"/>
      <c r="N16" s="20" t="str">
        <f t="shared" si="3"/>
        <v/>
      </c>
      <c r="O16" s="16" t="str">
        <f t="shared" si="3"/>
        <v xml:space="preserve"> </v>
      </c>
      <c r="P16" s="16" t="str">
        <f t="shared" si="3"/>
        <v/>
      </c>
      <c r="Q16" s="16" t="str">
        <f t="shared" si="3"/>
        <v/>
      </c>
      <c r="R16" s="16" t="str">
        <f t="shared" si="3"/>
        <v/>
      </c>
      <c r="S16" s="16" t="str">
        <f t="shared" si="3"/>
        <v xml:space="preserve"> </v>
      </c>
      <c r="T16" s="43" t="str">
        <f t="shared" si="3"/>
        <v xml:space="preserve"> </v>
      </c>
    </row>
    <row r="17" spans="11:20" ht="15.75" x14ac:dyDescent="0.25">
      <c r="K17" s="156" t="s">
        <v>4</v>
      </c>
      <c r="L17" s="157"/>
      <c r="M17" s="158"/>
      <c r="N17" s="44" t="str">
        <f t="shared" ref="N17:T17" si="4">IF(SUM(N10:N16)&lt;1," ",SUM(N10:N16))</f>
        <v xml:space="preserve"> </v>
      </c>
      <c r="O17" s="45" t="str">
        <f t="shared" si="4"/>
        <v xml:space="preserve"> </v>
      </c>
      <c r="P17" s="45" t="str">
        <f t="shared" si="4"/>
        <v xml:space="preserve"> </v>
      </c>
      <c r="Q17" s="45" t="str">
        <f t="shared" si="4"/>
        <v xml:space="preserve"> </v>
      </c>
      <c r="R17" s="45" t="str">
        <f t="shared" si="4"/>
        <v xml:space="preserve"> </v>
      </c>
      <c r="S17" s="45" t="str">
        <f t="shared" si="4"/>
        <v xml:space="preserve"> </v>
      </c>
      <c r="T17" s="46" t="str">
        <f t="shared" si="4"/>
        <v xml:space="preserve"> </v>
      </c>
    </row>
    <row r="18" spans="11:20" ht="16.5" thickBot="1" x14ac:dyDescent="0.3">
      <c r="K18" s="141" t="s">
        <v>5</v>
      </c>
      <c r="L18" s="142"/>
      <c r="M18" s="143"/>
      <c r="N18" s="120" t="e">
        <f>RANK(N17,$N17:$AL17,0)</f>
        <v>#VALUE!</v>
      </c>
      <c r="O18" s="121" t="e">
        <f t="shared" ref="O18:T18" si="5">RANK(O17,$N17:$AL17,0)</f>
        <v>#VALUE!</v>
      </c>
      <c r="P18" s="121" t="e">
        <f t="shared" si="5"/>
        <v>#VALUE!</v>
      </c>
      <c r="Q18" s="121" t="e">
        <f t="shared" si="5"/>
        <v>#VALUE!</v>
      </c>
      <c r="R18" s="121" t="e">
        <f t="shared" si="5"/>
        <v>#VALUE!</v>
      </c>
      <c r="S18" s="121" t="e">
        <f t="shared" si="5"/>
        <v>#VALUE!</v>
      </c>
      <c r="T18" s="122" t="e">
        <f t="shared" si="5"/>
        <v>#VALUE!</v>
      </c>
    </row>
    <row r="19" spans="11:20" x14ac:dyDescent="0.2">
      <c r="N19" s="7"/>
      <c r="O19" s="7"/>
      <c r="P19" s="7"/>
      <c r="Q19" s="7"/>
    </row>
    <row r="20" spans="11:20" s="31" customFormat="1" ht="135.75" customHeight="1" x14ac:dyDescent="0.2">
      <c r="N20" s="8" t="str">
        <f>+Names!$B$2</f>
        <v>Luke</v>
      </c>
      <c r="O20" s="8" t="str">
        <f>+Names!$B$3</f>
        <v>Ro</v>
      </c>
      <c r="P20" s="8" t="str">
        <f>+Names!$B$4</f>
        <v>Caleb</v>
      </c>
      <c r="Q20" s="8" t="str">
        <f>+Names!$B$5</f>
        <v>Zau</v>
      </c>
      <c r="R20" s="8" t="str">
        <f>+Names!$B$6</f>
        <v>Brady</v>
      </c>
      <c r="S20" s="8" t="str">
        <f>+Names!$B$7</f>
        <v>Theo</v>
      </c>
      <c r="T20" s="8" t="str">
        <f>+Names!$B$8</f>
        <v>Jonathan</v>
      </c>
    </row>
  </sheetData>
  <sheetProtection sheet="1" objects="1" scenarios="1" selectLockedCells="1"/>
  <mergeCells count="21">
    <mergeCell ref="F1:Y1"/>
    <mergeCell ref="K17:M17"/>
    <mergeCell ref="K18:M18"/>
    <mergeCell ref="S3:U3"/>
    <mergeCell ref="S4:U4"/>
    <mergeCell ref="S5:U5"/>
    <mergeCell ref="M3:N3"/>
    <mergeCell ref="F2:G2"/>
    <mergeCell ref="F3:G3"/>
    <mergeCell ref="N8:T8"/>
    <mergeCell ref="K8:M8"/>
    <mergeCell ref="R2:U2"/>
    <mergeCell ref="G8:I8"/>
    <mergeCell ref="F5:G5"/>
    <mergeCell ref="F6:G6"/>
    <mergeCell ref="M5:N5"/>
    <mergeCell ref="I2:L2"/>
    <mergeCell ref="M4:N4"/>
    <mergeCell ref="M2:N2"/>
    <mergeCell ref="F4:G4"/>
    <mergeCell ref="M6:N6"/>
  </mergeCells>
  <phoneticPr fontId="14" type="noConversion"/>
  <conditionalFormatting sqref="F10:F16">
    <cfRule type="expression" dxfId="99" priority="31" stopIfTrue="1">
      <formula>$H$2=F10</formula>
    </cfRule>
  </conditionalFormatting>
  <conditionalFormatting sqref="G10">
    <cfRule type="expression" dxfId="98" priority="13" stopIfTrue="1">
      <formula>$K$10=1</formula>
    </cfRule>
    <cfRule type="expression" dxfId="97" priority="14" stopIfTrue="1">
      <formula>$L$10=1</formula>
    </cfRule>
    <cfRule type="expression" dxfId="96" priority="15" stopIfTrue="1">
      <formula>$M$10=1</formula>
    </cfRule>
  </conditionalFormatting>
  <conditionalFormatting sqref="G11:G16">
    <cfRule type="expression" dxfId="95" priority="16" stopIfTrue="1">
      <formula>K11=1</formula>
    </cfRule>
    <cfRule type="expression" dxfId="94" priority="17" stopIfTrue="1">
      <formula>L11=1</formula>
    </cfRule>
    <cfRule type="expression" dxfId="93" priority="18" stopIfTrue="1">
      <formula>M11=1</formula>
    </cfRule>
  </conditionalFormatting>
  <conditionalFormatting sqref="H10:H16">
    <cfRule type="expression" dxfId="92" priority="19" stopIfTrue="1">
      <formula>K10=2</formula>
    </cfRule>
    <cfRule type="expression" dxfId="91" priority="20" stopIfTrue="1">
      <formula>L10=2</formula>
    </cfRule>
    <cfRule type="expression" dxfId="90" priority="21" stopIfTrue="1">
      <formula>M10=2</formula>
    </cfRule>
  </conditionalFormatting>
  <conditionalFormatting sqref="I10:I16">
    <cfRule type="expression" dxfId="89" priority="22" stopIfTrue="1">
      <formula>K10=3</formula>
    </cfRule>
    <cfRule type="expression" dxfId="88" priority="23" stopIfTrue="1">
      <formula>L10=3</formula>
    </cfRule>
    <cfRule type="expression" dxfId="87" priority="24" stopIfTrue="1">
      <formula>M10=3</formula>
    </cfRule>
  </conditionalFormatting>
  <conditionalFormatting sqref="I3:N6">
    <cfRule type="expression" dxfId="86" priority="28" stopIfTrue="1">
      <formula>$M3="1st"</formula>
    </cfRule>
    <cfRule type="expression" dxfId="85" priority="29" stopIfTrue="1">
      <formula>$M3="2nd"</formula>
    </cfRule>
    <cfRule type="expression" dxfId="84" priority="30" stopIfTrue="1">
      <formula>$M3="3rd"</formula>
    </cfRule>
  </conditionalFormatting>
  <conditionalFormatting sqref="J10:J16">
    <cfRule type="expression" dxfId="83" priority="25" stopIfTrue="1">
      <formula>K10=4</formula>
    </cfRule>
    <cfRule type="expression" dxfId="82" priority="26" stopIfTrue="1">
      <formula>L10=4</formula>
    </cfRule>
    <cfRule type="expression" dxfId="81" priority="27" stopIfTrue="1">
      <formula>M10=4</formula>
    </cfRule>
  </conditionalFormatting>
  <conditionalFormatting sqref="N10:T16">
    <cfRule type="cellIs" dxfId="80" priority="10" stopIfTrue="1" operator="equal">
      <formula>3</formula>
    </cfRule>
    <cfRule type="cellIs" dxfId="79" priority="11" stopIfTrue="1" operator="equal">
      <formula>2</formula>
    </cfRule>
    <cfRule type="cellIs" dxfId="78" priority="12" stopIfTrue="1" operator="equal">
      <formula>1</formula>
    </cfRule>
  </conditionalFormatting>
  <conditionalFormatting sqref="N18:T18">
    <cfRule type="cellIs" dxfId="77" priority="1" operator="equal">
      <formula>3</formula>
    </cfRule>
    <cfRule type="cellIs" dxfId="76" priority="2" operator="equal">
      <formula>2</formula>
    </cfRule>
    <cfRule type="cellIs" dxfId="75" priority="3" operator="equal">
      <formula>1</formula>
    </cfRule>
  </conditionalFormatting>
  <pageMargins left="0.75" right="0.75" top="1" bottom="1" header="0.5" footer="0.5"/>
  <pageSetup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19"/>
  <dimension ref="B1:AD19"/>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132"/>
      <c r="Y1" s="132"/>
      <c r="Z1" s="25"/>
      <c r="AA1" s="25"/>
      <c r="AB1" s="25"/>
      <c r="AC1" s="25"/>
      <c r="AD1" s="25"/>
    </row>
    <row r="2" spans="2:30" s="29" customFormat="1" ht="22.5" x14ac:dyDescent="0.45">
      <c r="F2" s="133" t="s">
        <v>2</v>
      </c>
      <c r="G2" s="159"/>
      <c r="H2" s="21">
        <v>1</v>
      </c>
      <c r="I2" s="135" t="str">
        <f>+Names!$C$1</f>
        <v>Driver</v>
      </c>
      <c r="J2" s="136"/>
      <c r="K2" s="136"/>
      <c r="L2" s="137"/>
      <c r="M2" s="130" t="s">
        <v>8</v>
      </c>
      <c r="N2" s="130"/>
      <c r="R2" s="138" t="s">
        <v>12</v>
      </c>
      <c r="S2" s="139"/>
      <c r="T2" s="139"/>
      <c r="U2" s="140"/>
    </row>
    <row r="3" spans="2:30" s="29" customFormat="1" ht="18.75" x14ac:dyDescent="0.3">
      <c r="E3" s="17"/>
      <c r="F3" s="128" t="s">
        <v>0</v>
      </c>
      <c r="G3" s="15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5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59"/>
      <c r="H5" s="3">
        <f ca="1">INDIRECT(ADDRESS(INDIRECT(ADDRESS($H$2+9,4))+1,1,,,"Names"))</f>
        <v>6</v>
      </c>
      <c r="I5" s="84" t="str">
        <f ca="1">INDIRECT(ADDRESS(INDIRECT(ADDRESS($H$2+9,4))+1,2,,,"Names"))</f>
        <v>Theo</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128"/>
      <c r="G6" s="159"/>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5"/>
      <c r="J8" s="83"/>
      <c r="K8" s="154" t="s">
        <v>34</v>
      </c>
      <c r="L8" s="147"/>
      <c r="M8" s="148"/>
      <c r="N8" s="144" t="s">
        <v>13</v>
      </c>
      <c r="O8" s="145"/>
      <c r="P8" s="145"/>
      <c r="Q8" s="145"/>
      <c r="R8" s="145"/>
      <c r="S8" s="146"/>
    </row>
    <row r="9" spans="2:30"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7">
        <f>+Names!$A$6</f>
        <v>5</v>
      </c>
      <c r="S9" s="58">
        <f>+Names!$A$7</f>
        <v>6</v>
      </c>
    </row>
    <row r="10" spans="2:30" s="30" customFormat="1" ht="15.75" x14ac:dyDescent="0.25">
      <c r="B10" s="36">
        <v>1</v>
      </c>
      <c r="C10" s="36">
        <v>3</v>
      </c>
      <c r="D10" s="36">
        <v>6</v>
      </c>
      <c r="E10" s="36"/>
      <c r="F10" s="72">
        <v>1</v>
      </c>
      <c r="G10" s="37">
        <f t="shared" ref="G10:G15" ca="1" si="0">INDIRECT(ADDRESS(B10+1,1,,,"Names"))</f>
        <v>1</v>
      </c>
      <c r="H10" s="18">
        <f t="shared" ref="H10:H15" ca="1" si="1">INDIRECT(ADDRESS(C10+1,1,,,"Names"))</f>
        <v>3</v>
      </c>
      <c r="I10" s="38">
        <f t="shared" ref="I10:I15" ca="1" si="2">INDIRECT(ADDRESS(D10+1,1,,,"Names"))</f>
        <v>6</v>
      </c>
      <c r="J10" s="91"/>
      <c r="K10" s="49"/>
      <c r="L10" s="81"/>
      <c r="M10" s="77"/>
      <c r="N10" s="88" t="str">
        <f t="shared" ref="N10:S15" si="3">IF(ISNA(MATCH(COLUMN()-13,$B10:$E10,0)),"",IF($K10=MATCH(COLUMN()-13,$B10:$E10,0),3,IF($L10=MATCH(COLUMN()-13,$B10:$E10,0),2,IF($M10=MATCH(COLUMN()-13,$B10:$E10,0),1," "))))</f>
        <v xml:space="preserve"> </v>
      </c>
      <c r="O10" s="89" t="str">
        <f t="shared" si="3"/>
        <v/>
      </c>
      <c r="P10" s="89" t="str">
        <f t="shared" si="3"/>
        <v xml:space="preserve"> </v>
      </c>
      <c r="Q10" s="89" t="str">
        <f t="shared" si="3"/>
        <v/>
      </c>
      <c r="R10" s="89" t="str">
        <f t="shared" si="3"/>
        <v/>
      </c>
      <c r="S10" s="90" t="str">
        <f t="shared" si="3"/>
        <v xml:space="preserve"> </v>
      </c>
    </row>
    <row r="11" spans="2:30" s="30" customFormat="1" ht="15.75" x14ac:dyDescent="0.25">
      <c r="B11" s="36">
        <v>2</v>
      </c>
      <c r="C11" s="36">
        <v>4</v>
      </c>
      <c r="D11" s="36">
        <v>1</v>
      </c>
      <c r="E11" s="36"/>
      <c r="F11" s="73">
        <v>2</v>
      </c>
      <c r="G11" s="4">
        <f t="shared" ca="1" si="0"/>
        <v>2</v>
      </c>
      <c r="H11" s="19">
        <f t="shared" ca="1" si="1"/>
        <v>4</v>
      </c>
      <c r="I11" s="69">
        <f t="shared" ca="1" si="2"/>
        <v>1</v>
      </c>
      <c r="J11" s="92"/>
      <c r="K11" s="97"/>
      <c r="L11" s="76"/>
      <c r="M11" s="98"/>
      <c r="N11" s="32" t="str">
        <f t="shared" si="3"/>
        <v xml:space="preserve"> </v>
      </c>
      <c r="O11" s="15" t="str">
        <f t="shared" si="3"/>
        <v xml:space="preserve"> </v>
      </c>
      <c r="P11" s="15" t="str">
        <f t="shared" si="3"/>
        <v/>
      </c>
      <c r="Q11" s="15" t="str">
        <f t="shared" si="3"/>
        <v xml:space="preserve"> </v>
      </c>
      <c r="R11" s="15" t="str">
        <f t="shared" si="3"/>
        <v/>
      </c>
      <c r="S11" s="5" t="str">
        <f t="shared" si="3"/>
        <v/>
      </c>
    </row>
    <row r="12" spans="2:30" s="30" customFormat="1" ht="15.75" x14ac:dyDescent="0.25">
      <c r="B12" s="36">
        <v>3</v>
      </c>
      <c r="C12" s="36">
        <v>5</v>
      </c>
      <c r="D12" s="36">
        <v>2</v>
      </c>
      <c r="E12" s="36"/>
      <c r="F12" s="73">
        <v>3</v>
      </c>
      <c r="G12" s="4">
        <f t="shared" ca="1" si="0"/>
        <v>3</v>
      </c>
      <c r="H12" s="19">
        <f t="shared" ca="1" si="1"/>
        <v>5</v>
      </c>
      <c r="I12" s="69">
        <f t="shared" ca="1" si="2"/>
        <v>2</v>
      </c>
      <c r="J12" s="92"/>
      <c r="K12" s="97"/>
      <c r="L12" s="76"/>
      <c r="M12" s="98"/>
      <c r="N12" s="32" t="str">
        <f t="shared" si="3"/>
        <v/>
      </c>
      <c r="O12" s="15" t="str">
        <f t="shared" si="3"/>
        <v xml:space="preserve"> </v>
      </c>
      <c r="P12" s="15" t="str">
        <f t="shared" si="3"/>
        <v xml:space="preserve"> </v>
      </c>
      <c r="Q12" s="15" t="str">
        <f t="shared" si="3"/>
        <v/>
      </c>
      <c r="R12" s="15" t="str">
        <f t="shared" si="3"/>
        <v xml:space="preserve"> </v>
      </c>
      <c r="S12" s="5" t="str">
        <f t="shared" si="3"/>
        <v/>
      </c>
    </row>
    <row r="13" spans="2:30" s="30" customFormat="1" ht="15.75" x14ac:dyDescent="0.25">
      <c r="B13" s="36">
        <v>4</v>
      </c>
      <c r="C13" s="36">
        <v>6</v>
      </c>
      <c r="D13" s="36">
        <v>3</v>
      </c>
      <c r="E13" s="36"/>
      <c r="F13" s="73">
        <v>4</v>
      </c>
      <c r="G13" s="4">
        <f t="shared" ca="1" si="0"/>
        <v>4</v>
      </c>
      <c r="H13" s="19">
        <f t="shared" ca="1" si="1"/>
        <v>6</v>
      </c>
      <c r="I13" s="69">
        <f t="shared" ca="1" si="2"/>
        <v>3</v>
      </c>
      <c r="J13" s="92"/>
      <c r="K13" s="97"/>
      <c r="L13" s="76"/>
      <c r="M13" s="98"/>
      <c r="N13" s="32" t="str">
        <f t="shared" si="3"/>
        <v/>
      </c>
      <c r="O13" s="15" t="str">
        <f t="shared" si="3"/>
        <v/>
      </c>
      <c r="P13" s="15" t="str">
        <f t="shared" si="3"/>
        <v xml:space="preserve"> </v>
      </c>
      <c r="Q13" s="15" t="str">
        <f t="shared" si="3"/>
        <v xml:space="preserve"> </v>
      </c>
      <c r="R13" s="15" t="str">
        <f t="shared" si="3"/>
        <v/>
      </c>
      <c r="S13" s="5" t="str">
        <f t="shared" si="3"/>
        <v xml:space="preserve"> </v>
      </c>
    </row>
    <row r="14" spans="2:30" s="30" customFormat="1" ht="15.75" x14ac:dyDescent="0.25">
      <c r="B14" s="36">
        <v>5</v>
      </c>
      <c r="C14" s="36">
        <v>1</v>
      </c>
      <c r="D14" s="36">
        <v>4</v>
      </c>
      <c r="E14" s="36"/>
      <c r="F14" s="73">
        <v>5</v>
      </c>
      <c r="G14" s="4">
        <f t="shared" ca="1" si="0"/>
        <v>5</v>
      </c>
      <c r="H14" s="19">
        <f t="shared" ca="1" si="1"/>
        <v>1</v>
      </c>
      <c r="I14" s="69">
        <f t="shared" ca="1" si="2"/>
        <v>4</v>
      </c>
      <c r="J14" s="92"/>
      <c r="K14" s="97"/>
      <c r="L14" s="76"/>
      <c r="M14" s="98"/>
      <c r="N14" s="32" t="str">
        <f t="shared" si="3"/>
        <v xml:space="preserve"> </v>
      </c>
      <c r="O14" s="15" t="str">
        <f t="shared" si="3"/>
        <v/>
      </c>
      <c r="P14" s="15" t="str">
        <f t="shared" si="3"/>
        <v/>
      </c>
      <c r="Q14" s="15" t="str">
        <f t="shared" si="3"/>
        <v xml:space="preserve"> </v>
      </c>
      <c r="R14" s="15" t="str">
        <f t="shared" si="3"/>
        <v xml:space="preserve"> </v>
      </c>
      <c r="S14" s="5" t="str">
        <f t="shared" si="3"/>
        <v/>
      </c>
    </row>
    <row r="15" spans="2:30" s="30" customFormat="1" ht="16.5" thickBot="1" x14ac:dyDescent="0.3">
      <c r="B15" s="36">
        <v>6</v>
      </c>
      <c r="C15" s="36">
        <v>2</v>
      </c>
      <c r="D15" s="36">
        <v>5</v>
      </c>
      <c r="E15" s="36"/>
      <c r="F15" s="74">
        <v>6</v>
      </c>
      <c r="G15" s="6">
        <f t="shared" ca="1" si="0"/>
        <v>6</v>
      </c>
      <c r="H15" s="39">
        <f t="shared" ca="1" si="1"/>
        <v>2</v>
      </c>
      <c r="I15" s="40">
        <f t="shared" ca="1" si="2"/>
        <v>5</v>
      </c>
      <c r="J15" s="93"/>
      <c r="K15" s="99"/>
      <c r="L15" s="100"/>
      <c r="M15" s="101"/>
      <c r="N15" s="20" t="str">
        <f t="shared" si="3"/>
        <v/>
      </c>
      <c r="O15" s="16" t="str">
        <f t="shared" si="3"/>
        <v xml:space="preserve"> </v>
      </c>
      <c r="P15" s="16" t="str">
        <f t="shared" si="3"/>
        <v/>
      </c>
      <c r="Q15" s="16" t="str">
        <f t="shared" si="3"/>
        <v/>
      </c>
      <c r="R15" s="16" t="str">
        <f t="shared" si="3"/>
        <v xml:space="preserve"> </v>
      </c>
      <c r="S15" s="43" t="str">
        <f t="shared" si="3"/>
        <v xml:space="preserve"> </v>
      </c>
    </row>
    <row r="16" spans="2:30" ht="15.75" x14ac:dyDescent="0.25">
      <c r="K16" s="156" t="s">
        <v>4</v>
      </c>
      <c r="L16" s="157"/>
      <c r="M16" s="158"/>
      <c r="N16" s="44" t="str">
        <f t="shared" ref="N16:S16" si="4">IF(SUM(N10:N15)&lt;1," ",SUM(N10:N15))</f>
        <v xml:space="preserve"> </v>
      </c>
      <c r="O16" s="45" t="str">
        <f t="shared" si="4"/>
        <v xml:space="preserve"> </v>
      </c>
      <c r="P16" s="45" t="str">
        <f t="shared" si="4"/>
        <v xml:space="preserve"> </v>
      </c>
      <c r="Q16" s="45" t="str">
        <f t="shared" si="4"/>
        <v xml:space="preserve"> </v>
      </c>
      <c r="R16" s="45" t="str">
        <f t="shared" si="4"/>
        <v xml:space="preserve"> </v>
      </c>
      <c r="S16" s="46" t="str">
        <f t="shared" si="4"/>
        <v xml:space="preserve"> </v>
      </c>
    </row>
    <row r="17" spans="11:19" ht="16.5" thickBot="1" x14ac:dyDescent="0.3">
      <c r="K17" s="141" t="s">
        <v>5</v>
      </c>
      <c r="L17" s="142"/>
      <c r="M17" s="143"/>
      <c r="N17" s="120" t="e">
        <f>RANK(N16,$N16:$AL16,0)</f>
        <v>#VALUE!</v>
      </c>
      <c r="O17" s="121" t="e">
        <f t="shared" ref="O17:S17" si="5">RANK(O16,$N16:$AL16,0)</f>
        <v>#VALUE!</v>
      </c>
      <c r="P17" s="121" t="e">
        <f t="shared" si="5"/>
        <v>#VALUE!</v>
      </c>
      <c r="Q17" s="121" t="e">
        <f t="shared" si="5"/>
        <v>#VALUE!</v>
      </c>
      <c r="R17" s="121" t="e">
        <f t="shared" si="5"/>
        <v>#VALUE!</v>
      </c>
      <c r="S17" s="122" t="e">
        <f t="shared" si="5"/>
        <v>#VALUE!</v>
      </c>
    </row>
    <row r="18" spans="11:19" x14ac:dyDescent="0.2">
      <c r="N18" s="7"/>
      <c r="O18" s="7"/>
      <c r="P18" s="7"/>
      <c r="Q18" s="7"/>
    </row>
    <row r="19" spans="11:19" s="31" customFormat="1" ht="135.75" customHeight="1" x14ac:dyDescent="0.2">
      <c r="N19" s="8" t="str">
        <f>+Names!$B$2</f>
        <v>Luke</v>
      </c>
      <c r="O19" s="8" t="str">
        <f>+Names!$B$3</f>
        <v>Ro</v>
      </c>
      <c r="P19" s="8" t="str">
        <f>+Names!$B$4</f>
        <v>Caleb</v>
      </c>
      <c r="Q19" s="8" t="str">
        <f>+Names!$B$5</f>
        <v>Zau</v>
      </c>
      <c r="R19" s="8" t="str">
        <f>+Names!$B$6</f>
        <v>Brady</v>
      </c>
      <c r="S19" s="8" t="str">
        <f>+Names!$B$7</f>
        <v>Theo</v>
      </c>
    </row>
  </sheetData>
  <sheetProtection sheet="1" objects="1" scenarios="1" selectLockedCells="1"/>
  <mergeCells count="21">
    <mergeCell ref="F1:Y1"/>
    <mergeCell ref="K16:M16"/>
    <mergeCell ref="K17:M17"/>
    <mergeCell ref="S3:U3"/>
    <mergeCell ref="S4:U4"/>
    <mergeCell ref="S5:U5"/>
    <mergeCell ref="M3:N3"/>
    <mergeCell ref="F2:G2"/>
    <mergeCell ref="F3:G3"/>
    <mergeCell ref="N8:S8"/>
    <mergeCell ref="K8:M8"/>
    <mergeCell ref="R2:U2"/>
    <mergeCell ref="G8:I8"/>
    <mergeCell ref="F5:G5"/>
    <mergeCell ref="F6:G6"/>
    <mergeCell ref="M5:N5"/>
    <mergeCell ref="I2:L2"/>
    <mergeCell ref="M4:N4"/>
    <mergeCell ref="M2:N2"/>
    <mergeCell ref="F4:G4"/>
    <mergeCell ref="M6:N6"/>
  </mergeCells>
  <phoneticPr fontId="14" type="noConversion"/>
  <conditionalFormatting sqref="F10:F15">
    <cfRule type="expression" dxfId="74" priority="31" stopIfTrue="1">
      <formula>$H$2=F10</formula>
    </cfRule>
  </conditionalFormatting>
  <conditionalFormatting sqref="G10">
    <cfRule type="expression" dxfId="73" priority="13" stopIfTrue="1">
      <formula>$K$10=1</formula>
    </cfRule>
    <cfRule type="expression" dxfId="72" priority="14" stopIfTrue="1">
      <formula>$L$10=1</formula>
    </cfRule>
    <cfRule type="expression" dxfId="71" priority="15" stopIfTrue="1">
      <formula>$M$10=1</formula>
    </cfRule>
  </conditionalFormatting>
  <conditionalFormatting sqref="G11:G15">
    <cfRule type="expression" dxfId="70" priority="16" stopIfTrue="1">
      <formula>K11=1</formula>
    </cfRule>
    <cfRule type="expression" dxfId="69" priority="17" stopIfTrue="1">
      <formula>L11=1</formula>
    </cfRule>
    <cfRule type="expression" dxfId="68" priority="18" stopIfTrue="1">
      <formula>M11=1</formula>
    </cfRule>
  </conditionalFormatting>
  <conditionalFormatting sqref="H10:H15">
    <cfRule type="expression" dxfId="67" priority="19" stopIfTrue="1">
      <formula>K10=2</formula>
    </cfRule>
    <cfRule type="expression" dxfId="66" priority="20" stopIfTrue="1">
      <formula>L10=2</formula>
    </cfRule>
    <cfRule type="expression" dxfId="65" priority="21" stopIfTrue="1">
      <formula>M10=2</formula>
    </cfRule>
  </conditionalFormatting>
  <conditionalFormatting sqref="I10:I15">
    <cfRule type="expression" dxfId="64" priority="22" stopIfTrue="1">
      <formula>K10=3</formula>
    </cfRule>
    <cfRule type="expression" dxfId="63" priority="23" stopIfTrue="1">
      <formula>L10=3</formula>
    </cfRule>
    <cfRule type="expression" dxfId="62" priority="24" stopIfTrue="1">
      <formula>M10=3</formula>
    </cfRule>
  </conditionalFormatting>
  <conditionalFormatting sqref="I3:N6">
    <cfRule type="expression" dxfId="61" priority="28" stopIfTrue="1">
      <formula>$M3="1st"</formula>
    </cfRule>
    <cfRule type="expression" dxfId="60" priority="29" stopIfTrue="1">
      <formula>$M3="2nd"</formula>
    </cfRule>
    <cfRule type="expression" dxfId="59" priority="30" stopIfTrue="1">
      <formula>$M3="3rd"</formula>
    </cfRule>
  </conditionalFormatting>
  <conditionalFormatting sqref="J10:J15">
    <cfRule type="expression" dxfId="58" priority="25" stopIfTrue="1">
      <formula>K10=4</formula>
    </cfRule>
    <cfRule type="expression" dxfId="57" priority="26" stopIfTrue="1">
      <formula>L10=4</formula>
    </cfRule>
    <cfRule type="expression" dxfId="56" priority="27" stopIfTrue="1">
      <formula>M10=4</formula>
    </cfRule>
  </conditionalFormatting>
  <conditionalFormatting sqref="N10:S15">
    <cfRule type="cellIs" dxfId="55" priority="10" stopIfTrue="1" operator="equal">
      <formula>3</formula>
    </cfRule>
    <cfRule type="cellIs" dxfId="54" priority="11" stopIfTrue="1" operator="equal">
      <formula>2</formula>
    </cfRule>
    <cfRule type="cellIs" dxfId="53" priority="12" stopIfTrue="1" operator="equal">
      <formula>1</formula>
    </cfRule>
  </conditionalFormatting>
  <conditionalFormatting sqref="N17:S17">
    <cfRule type="cellIs" dxfId="52" priority="1" operator="equal">
      <formula>3</formula>
    </cfRule>
    <cfRule type="cellIs" dxfId="51" priority="2" operator="equal">
      <formula>2</formula>
    </cfRule>
    <cfRule type="cellIs" dxfId="50" priority="3" operator="equal">
      <formula>1</formula>
    </cfRule>
  </conditionalFormatting>
  <pageMargins left="0.75" right="0.75" top="1" bottom="1" header="0.5" footer="0.5"/>
  <pageSetup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110"/>
  <dimension ref="B1:AD18"/>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25"/>
      <c r="Y1" s="25"/>
      <c r="Z1" s="25"/>
      <c r="AA1" s="25"/>
      <c r="AB1" s="25"/>
      <c r="AC1" s="25"/>
      <c r="AD1" s="25"/>
    </row>
    <row r="2" spans="2:30" s="29" customFormat="1" ht="22.5" x14ac:dyDescent="0.45">
      <c r="F2" s="133" t="s">
        <v>2</v>
      </c>
      <c r="G2" s="134"/>
      <c r="H2" s="21">
        <v>1</v>
      </c>
      <c r="I2" s="135" t="str">
        <f>+Names!$C$1</f>
        <v>Driver</v>
      </c>
      <c r="J2" s="136"/>
      <c r="K2" s="136"/>
      <c r="L2" s="137"/>
      <c r="M2" s="130" t="s">
        <v>8</v>
      </c>
      <c r="N2" s="130"/>
      <c r="R2" s="138" t="s">
        <v>12</v>
      </c>
      <c r="S2" s="139"/>
      <c r="T2" s="139"/>
      <c r="U2" s="140"/>
    </row>
    <row r="3" spans="2:30"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29"/>
      <c r="H4" s="3">
        <f ca="1">INDIRECT(ADDRESS(INDIRECT(ADDRESS($H$2+9,3))+1,1,,,"Names"))</f>
        <v>3</v>
      </c>
      <c r="I4" s="84" t="str">
        <f ca="1">INDIRECT(ADDRESS(INDIRECT(ADDRESS($H$2+9,3))+1,2,,,"Names"))</f>
        <v>Caleb</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29"/>
      <c r="H5" s="3">
        <f ca="1">INDIRECT(ADDRESS(INDIRECT(ADDRESS($H$2+9,4))+1,1,,,"Names"))</f>
        <v>5</v>
      </c>
      <c r="I5" s="84" t="str">
        <f ca="1">INDIRECT(ADDRESS(INDIRECT(ADDRESS($H$2+9,4))+1,2,,,"Names"))</f>
        <v>Brady</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128"/>
      <c r="G6" s="129"/>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5"/>
      <c r="J8" s="83"/>
      <c r="K8" s="154" t="s">
        <v>34</v>
      </c>
      <c r="L8" s="147"/>
      <c r="M8" s="148"/>
      <c r="N8" s="144" t="s">
        <v>13</v>
      </c>
      <c r="O8" s="145"/>
      <c r="P8" s="145"/>
      <c r="Q8" s="145"/>
      <c r="R8" s="146"/>
    </row>
    <row r="9" spans="2:30"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7">
        <f>+Names!$A$5</f>
        <v>4</v>
      </c>
      <c r="R9" s="58">
        <f>+Names!$A$6</f>
        <v>5</v>
      </c>
    </row>
    <row r="10" spans="2:30" s="30" customFormat="1" ht="15.75" x14ac:dyDescent="0.25">
      <c r="B10" s="36">
        <v>1</v>
      </c>
      <c r="C10" s="36">
        <v>3</v>
      </c>
      <c r="D10" s="36">
        <v>5</v>
      </c>
      <c r="E10" s="36"/>
      <c r="F10" s="72">
        <v>1</v>
      </c>
      <c r="G10" s="37">
        <f t="shared" ref="G10:I14" ca="1" si="0">INDIRECT(ADDRESS(B10+1,1,,,"Names"))</f>
        <v>1</v>
      </c>
      <c r="H10" s="18">
        <f t="shared" ca="1" si="0"/>
        <v>3</v>
      </c>
      <c r="I10" s="38">
        <f t="shared" ca="1" si="0"/>
        <v>5</v>
      </c>
      <c r="J10" s="91"/>
      <c r="K10" s="49"/>
      <c r="L10" s="81"/>
      <c r="M10" s="77"/>
      <c r="N10" s="88" t="str">
        <f t="shared" ref="N10:R14" si="1">IF(ISNA(MATCH(COLUMN()-13,$B10:$E10,0)),"",IF($K10=MATCH(COLUMN()-13,$B10:$E10,0),3,IF($L10=MATCH(COLUMN()-13,$B10:$E10,0),2,IF($M10=MATCH(COLUMN()-13,$B10:$E10,0),1," "))))</f>
        <v xml:space="preserve"> </v>
      </c>
      <c r="O10" s="89" t="str">
        <f t="shared" si="1"/>
        <v/>
      </c>
      <c r="P10" s="89" t="str">
        <f t="shared" si="1"/>
        <v xml:space="preserve"> </v>
      </c>
      <c r="Q10" s="89" t="str">
        <f t="shared" si="1"/>
        <v/>
      </c>
      <c r="R10" s="90" t="str">
        <f t="shared" si="1"/>
        <v xml:space="preserve"> </v>
      </c>
    </row>
    <row r="11" spans="2:30" s="30" customFormat="1" ht="15.75" x14ac:dyDescent="0.25">
      <c r="B11" s="36">
        <v>2</v>
      </c>
      <c r="C11" s="36">
        <v>4</v>
      </c>
      <c r="D11" s="36">
        <v>1</v>
      </c>
      <c r="E11" s="36"/>
      <c r="F11" s="73">
        <v>2</v>
      </c>
      <c r="G11" s="4">
        <f t="shared" ca="1" si="0"/>
        <v>2</v>
      </c>
      <c r="H11" s="19">
        <f t="shared" ca="1" si="0"/>
        <v>4</v>
      </c>
      <c r="I11" s="69">
        <f t="shared" ca="1" si="0"/>
        <v>1</v>
      </c>
      <c r="J11" s="92"/>
      <c r="K11" s="97"/>
      <c r="L11" s="76"/>
      <c r="M11" s="98"/>
      <c r="N11" s="32" t="str">
        <f t="shared" si="1"/>
        <v xml:space="preserve"> </v>
      </c>
      <c r="O11" s="15" t="str">
        <f t="shared" si="1"/>
        <v xml:space="preserve"> </v>
      </c>
      <c r="P11" s="15" t="str">
        <f t="shared" si="1"/>
        <v/>
      </c>
      <c r="Q11" s="15" t="str">
        <f t="shared" si="1"/>
        <v xml:space="preserve"> </v>
      </c>
      <c r="R11" s="5" t="str">
        <f t="shared" si="1"/>
        <v/>
      </c>
    </row>
    <row r="12" spans="2:30" s="30" customFormat="1" ht="15.75" x14ac:dyDescent="0.25">
      <c r="B12" s="36">
        <v>3</v>
      </c>
      <c r="C12" s="36">
        <v>5</v>
      </c>
      <c r="D12" s="36">
        <v>2</v>
      </c>
      <c r="E12" s="36"/>
      <c r="F12" s="73">
        <v>3</v>
      </c>
      <c r="G12" s="4">
        <f t="shared" ca="1" si="0"/>
        <v>3</v>
      </c>
      <c r="H12" s="19">
        <f t="shared" ca="1" si="0"/>
        <v>5</v>
      </c>
      <c r="I12" s="69">
        <f t="shared" ca="1" si="0"/>
        <v>2</v>
      </c>
      <c r="J12" s="92"/>
      <c r="K12" s="97"/>
      <c r="L12" s="76"/>
      <c r="M12" s="98"/>
      <c r="N12" s="32" t="str">
        <f t="shared" si="1"/>
        <v/>
      </c>
      <c r="O12" s="15" t="str">
        <f t="shared" si="1"/>
        <v xml:space="preserve"> </v>
      </c>
      <c r="P12" s="15" t="str">
        <f t="shared" si="1"/>
        <v xml:space="preserve"> </v>
      </c>
      <c r="Q12" s="15" t="str">
        <f t="shared" si="1"/>
        <v/>
      </c>
      <c r="R12" s="5" t="str">
        <f t="shared" si="1"/>
        <v xml:space="preserve"> </v>
      </c>
    </row>
    <row r="13" spans="2:30" s="30" customFormat="1" ht="15.75" x14ac:dyDescent="0.25">
      <c r="B13" s="36">
        <v>4</v>
      </c>
      <c r="C13" s="36">
        <v>1</v>
      </c>
      <c r="D13" s="36">
        <v>3</v>
      </c>
      <c r="E13" s="36"/>
      <c r="F13" s="73">
        <v>4</v>
      </c>
      <c r="G13" s="4">
        <f t="shared" ca="1" si="0"/>
        <v>4</v>
      </c>
      <c r="H13" s="19">
        <f t="shared" ca="1" si="0"/>
        <v>1</v>
      </c>
      <c r="I13" s="69">
        <f t="shared" ca="1" si="0"/>
        <v>3</v>
      </c>
      <c r="J13" s="92"/>
      <c r="K13" s="97"/>
      <c r="L13" s="76"/>
      <c r="M13" s="98"/>
      <c r="N13" s="32" t="str">
        <f t="shared" si="1"/>
        <v xml:space="preserve"> </v>
      </c>
      <c r="O13" s="15" t="str">
        <f t="shared" si="1"/>
        <v/>
      </c>
      <c r="P13" s="15" t="str">
        <f t="shared" si="1"/>
        <v xml:space="preserve"> </v>
      </c>
      <c r="Q13" s="15" t="str">
        <f t="shared" si="1"/>
        <v xml:space="preserve"> </v>
      </c>
      <c r="R13" s="5" t="str">
        <f t="shared" si="1"/>
        <v/>
      </c>
    </row>
    <row r="14" spans="2:30" s="30" customFormat="1" ht="16.5" thickBot="1" x14ac:dyDescent="0.3">
      <c r="B14" s="36">
        <v>5</v>
      </c>
      <c r="C14" s="36">
        <v>2</v>
      </c>
      <c r="D14" s="36">
        <v>4</v>
      </c>
      <c r="E14" s="36"/>
      <c r="F14" s="74">
        <v>5</v>
      </c>
      <c r="G14" s="6">
        <f t="shared" ca="1" si="0"/>
        <v>5</v>
      </c>
      <c r="H14" s="39">
        <f t="shared" ca="1" si="0"/>
        <v>2</v>
      </c>
      <c r="I14" s="40">
        <f t="shared" ca="1" si="0"/>
        <v>4</v>
      </c>
      <c r="J14" s="93"/>
      <c r="K14" s="99"/>
      <c r="L14" s="100"/>
      <c r="M14" s="101"/>
      <c r="N14" s="20" t="str">
        <f t="shared" si="1"/>
        <v/>
      </c>
      <c r="O14" s="16" t="str">
        <f t="shared" si="1"/>
        <v xml:space="preserve"> </v>
      </c>
      <c r="P14" s="16" t="str">
        <f t="shared" si="1"/>
        <v/>
      </c>
      <c r="Q14" s="16" t="str">
        <f t="shared" si="1"/>
        <v xml:space="preserve"> </v>
      </c>
      <c r="R14" s="43" t="str">
        <f t="shared" si="1"/>
        <v xml:space="preserve"> </v>
      </c>
    </row>
    <row r="15" spans="2:30" ht="15.75" x14ac:dyDescent="0.25">
      <c r="K15" s="156" t="s">
        <v>4</v>
      </c>
      <c r="L15" s="157"/>
      <c r="M15" s="158"/>
      <c r="N15" s="44" t="str">
        <f>IF(SUM(N10:N14)&lt;1," ",SUM(N10:N14))</f>
        <v xml:space="preserve"> </v>
      </c>
      <c r="O15" s="45" t="str">
        <f>IF(SUM(O10:O14)&lt;1," ",SUM(O10:O14))</f>
        <v xml:space="preserve"> </v>
      </c>
      <c r="P15" s="45" t="str">
        <f>IF(SUM(P10:P14)&lt;1," ",SUM(P10:P14))</f>
        <v xml:space="preserve"> </v>
      </c>
      <c r="Q15" s="45" t="str">
        <f>IF(SUM(Q10:Q14)&lt;1," ",SUM(Q10:Q14))</f>
        <v xml:space="preserve"> </v>
      </c>
      <c r="R15" s="46" t="str">
        <f>IF(SUM(R10:R14)&lt;1," ",SUM(R10:R14))</f>
        <v xml:space="preserve"> </v>
      </c>
    </row>
    <row r="16" spans="2:30" ht="16.5" thickBot="1" x14ac:dyDescent="0.3">
      <c r="K16" s="141" t="s">
        <v>5</v>
      </c>
      <c r="L16" s="142"/>
      <c r="M16" s="143"/>
      <c r="N16" s="120" t="e">
        <f>RANK(N15,$N15:$AL15,0)</f>
        <v>#VALUE!</v>
      </c>
      <c r="O16" s="121" t="e">
        <f t="shared" ref="O16:R16" si="2">RANK(O15,$N15:$AL15,0)</f>
        <v>#VALUE!</v>
      </c>
      <c r="P16" s="121" t="e">
        <f t="shared" si="2"/>
        <v>#VALUE!</v>
      </c>
      <c r="Q16" s="121" t="e">
        <f t="shared" si="2"/>
        <v>#VALUE!</v>
      </c>
      <c r="R16" s="122" t="e">
        <f t="shared" si="2"/>
        <v>#VALUE!</v>
      </c>
    </row>
    <row r="17" spans="14:18" x14ac:dyDescent="0.2">
      <c r="N17" s="7"/>
      <c r="O17" s="7"/>
      <c r="P17" s="7"/>
      <c r="Q17" s="7"/>
    </row>
    <row r="18" spans="14:18" s="31" customFormat="1" ht="135.75" customHeight="1" x14ac:dyDescent="0.2">
      <c r="N18" s="8" t="str">
        <f>+Names!$B$2</f>
        <v>Luke</v>
      </c>
      <c r="O18" s="8" t="str">
        <f>+Names!$B$3</f>
        <v>Ro</v>
      </c>
      <c r="P18" s="8" t="str">
        <f>+Names!$B$4</f>
        <v>Caleb</v>
      </c>
      <c r="Q18" s="8" t="str">
        <f>+Names!$B$5</f>
        <v>Zau</v>
      </c>
      <c r="R18" s="8" t="str">
        <f>+Names!$B$6</f>
        <v>Brady</v>
      </c>
    </row>
  </sheetData>
  <sheetProtection sheet="1" objects="1" scenarios="1" selectLockedCells="1"/>
  <mergeCells count="21">
    <mergeCell ref="F1:W1"/>
    <mergeCell ref="I2:L2"/>
    <mergeCell ref="G8:I8"/>
    <mergeCell ref="N8:R8"/>
    <mergeCell ref="F6:G6"/>
    <mergeCell ref="M2:N2"/>
    <mergeCell ref="F2:G2"/>
    <mergeCell ref="F3:G3"/>
    <mergeCell ref="F4:G4"/>
    <mergeCell ref="F5:G5"/>
    <mergeCell ref="M6:N6"/>
    <mergeCell ref="R2:U2"/>
    <mergeCell ref="K8:M8"/>
    <mergeCell ref="K16:M16"/>
    <mergeCell ref="S3:U3"/>
    <mergeCell ref="S4:U4"/>
    <mergeCell ref="S5:U5"/>
    <mergeCell ref="M3:N3"/>
    <mergeCell ref="M4:N4"/>
    <mergeCell ref="M5:N5"/>
    <mergeCell ref="K15:M15"/>
  </mergeCells>
  <phoneticPr fontId="14" type="noConversion"/>
  <conditionalFormatting sqref="F10:F14">
    <cfRule type="expression" dxfId="49" priority="31" stopIfTrue="1">
      <formula>$H$2=F10</formula>
    </cfRule>
  </conditionalFormatting>
  <conditionalFormatting sqref="G10">
    <cfRule type="expression" dxfId="48" priority="13" stopIfTrue="1">
      <formula>$K$10=1</formula>
    </cfRule>
    <cfRule type="expression" dxfId="47" priority="14" stopIfTrue="1">
      <formula>$L$10=1</formula>
    </cfRule>
    <cfRule type="expression" dxfId="46" priority="15" stopIfTrue="1">
      <formula>$M$10=1</formula>
    </cfRule>
  </conditionalFormatting>
  <conditionalFormatting sqref="G11:G14">
    <cfRule type="expression" dxfId="45" priority="16" stopIfTrue="1">
      <formula>K11=1</formula>
    </cfRule>
    <cfRule type="expression" dxfId="44" priority="17" stopIfTrue="1">
      <formula>L11=1</formula>
    </cfRule>
    <cfRule type="expression" dxfId="43" priority="18" stopIfTrue="1">
      <formula>M11=1</formula>
    </cfRule>
  </conditionalFormatting>
  <conditionalFormatting sqref="H10:H14">
    <cfRule type="expression" dxfId="42" priority="19" stopIfTrue="1">
      <formula>K10=2</formula>
    </cfRule>
    <cfRule type="expression" dxfId="41" priority="20" stopIfTrue="1">
      <formula>L10=2</formula>
    </cfRule>
    <cfRule type="expression" dxfId="40" priority="21" stopIfTrue="1">
      <formula>M10=2</formula>
    </cfRule>
  </conditionalFormatting>
  <conditionalFormatting sqref="I10:I14">
    <cfRule type="expression" dxfId="39" priority="22" stopIfTrue="1">
      <formula>K10=3</formula>
    </cfRule>
    <cfRule type="expression" dxfId="38" priority="23" stopIfTrue="1">
      <formula>L10=3</formula>
    </cfRule>
    <cfRule type="expression" dxfId="37" priority="24" stopIfTrue="1">
      <formula>M10=3</formula>
    </cfRule>
  </conditionalFormatting>
  <conditionalFormatting sqref="I3:N6">
    <cfRule type="expression" dxfId="36" priority="28" stopIfTrue="1">
      <formula>$M3="1st"</formula>
    </cfRule>
    <cfRule type="expression" dxfId="35" priority="29" stopIfTrue="1">
      <formula>$M3="2nd"</formula>
    </cfRule>
    <cfRule type="expression" dxfId="34" priority="30" stopIfTrue="1">
      <formula>$M3="3rd"</formula>
    </cfRule>
  </conditionalFormatting>
  <conditionalFormatting sqref="J10:J14">
    <cfRule type="expression" dxfId="33" priority="25" stopIfTrue="1">
      <formula>K10=4</formula>
    </cfRule>
    <cfRule type="expression" dxfId="32" priority="26" stopIfTrue="1">
      <formula>L10=4</formula>
    </cfRule>
    <cfRule type="expression" dxfId="31" priority="27" stopIfTrue="1">
      <formula>M10=4</formula>
    </cfRule>
  </conditionalFormatting>
  <conditionalFormatting sqref="N10:R14">
    <cfRule type="cellIs" dxfId="30" priority="10" stopIfTrue="1" operator="equal">
      <formula>3</formula>
    </cfRule>
    <cfRule type="cellIs" dxfId="29" priority="11" stopIfTrue="1" operator="equal">
      <formula>2</formula>
    </cfRule>
    <cfRule type="cellIs" dxfId="28" priority="12" stopIfTrue="1" operator="equal">
      <formula>1</formula>
    </cfRule>
  </conditionalFormatting>
  <conditionalFormatting sqref="N16:R16">
    <cfRule type="cellIs" dxfId="27" priority="1" operator="equal">
      <formula>3</formula>
    </cfRule>
    <cfRule type="cellIs" dxfId="26" priority="2" operator="equal">
      <formula>2</formula>
    </cfRule>
    <cfRule type="cellIs" dxfId="25" priority="3" operator="equal">
      <formula>1</formula>
    </cfRule>
  </conditionalFormatting>
  <pageMargins left="0.75" right="0.75" top="1" bottom="1" header="0.5" footer="0.5"/>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111"/>
  <dimension ref="B1:AD17"/>
  <sheetViews>
    <sheetView showGridLines="0" zoomScaleNormal="100" workbookViewId="0">
      <selection activeCell="H2" sqref="H2"/>
    </sheetView>
  </sheetViews>
  <sheetFormatPr defaultColWidth="9.140625" defaultRowHeight="12.75" x14ac:dyDescent="0.2"/>
  <cols>
    <col min="1" max="1" width="4.140625" customWidth="1"/>
    <col min="2" max="4" width="4.140625" hidden="1" customWidth="1"/>
    <col min="5" max="5" width="3.42578125" hidden="1" customWidth="1"/>
    <col min="6" max="6" width="7.140625" customWidth="1"/>
    <col min="7" max="9" width="8.85546875" customWidth="1"/>
    <col min="10" max="10" width="8.85546875" hidden="1" customWidth="1"/>
    <col min="11" max="13" width="5.7109375" customWidth="1"/>
    <col min="14" max="30" width="4.7109375" customWidth="1"/>
    <col min="31" max="31" width="5.140625" customWidth="1"/>
    <col min="32" max="32" width="5.28515625" customWidth="1"/>
  </cols>
  <sheetData>
    <row r="1" spans="2:30" ht="31.5" customHeight="1" x14ac:dyDescent="0.2">
      <c r="E1" s="10"/>
      <c r="F1" s="132" t="str">
        <f>+Banner</f>
        <v>Westminster Trailblazers Pinewood Derby</v>
      </c>
      <c r="G1" s="132"/>
      <c r="H1" s="132"/>
      <c r="I1" s="132"/>
      <c r="J1" s="132"/>
      <c r="K1" s="132"/>
      <c r="L1" s="132"/>
      <c r="M1" s="132"/>
      <c r="N1" s="132"/>
      <c r="O1" s="132"/>
      <c r="P1" s="132"/>
      <c r="Q1" s="132"/>
      <c r="R1" s="132"/>
      <c r="S1" s="132"/>
      <c r="T1" s="132"/>
      <c r="U1" s="132"/>
      <c r="V1" s="132"/>
      <c r="W1" s="132"/>
      <c r="X1" s="25"/>
      <c r="Y1" s="25"/>
      <c r="Z1" s="25"/>
      <c r="AA1" s="25"/>
      <c r="AB1" s="25"/>
      <c r="AC1" s="25"/>
      <c r="AD1" s="25"/>
    </row>
    <row r="2" spans="2:30" s="29" customFormat="1" ht="22.5" x14ac:dyDescent="0.45">
      <c r="F2" s="133" t="s">
        <v>2</v>
      </c>
      <c r="G2" s="134"/>
      <c r="H2" s="21">
        <v>1</v>
      </c>
      <c r="I2" s="135" t="str">
        <f>+Names!$C$1</f>
        <v>Driver</v>
      </c>
      <c r="J2" s="136"/>
      <c r="K2" s="136"/>
      <c r="L2" s="137"/>
      <c r="M2" s="130" t="s">
        <v>8</v>
      </c>
      <c r="N2" s="130"/>
      <c r="R2" s="138" t="s">
        <v>12</v>
      </c>
      <c r="S2" s="139"/>
      <c r="T2" s="139"/>
      <c r="U2" s="140"/>
    </row>
    <row r="3" spans="2:30" s="29" customFormat="1" ht="18.75" x14ac:dyDescent="0.3">
      <c r="E3" s="17"/>
      <c r="F3" s="128" t="s">
        <v>0</v>
      </c>
      <c r="G3" s="129"/>
      <c r="H3" s="3">
        <f ca="1">INDIRECT(ADDRESS(INDIRECT(ADDRESS($H$2+9,2))+1,1,,,"Names"))</f>
        <v>1</v>
      </c>
      <c r="I3" s="84" t="str">
        <f ca="1">INDIRECT(ADDRESS(INDIRECT(ADDRESS($H$2+9,2))+1,2,,,"Names"))</f>
        <v>Luke</v>
      </c>
      <c r="J3" s="85"/>
      <c r="K3" s="85"/>
      <c r="L3" s="86"/>
      <c r="M3" s="130" t="str">
        <f ca="1">IF(INDIRECT(ADDRESS(9+$H$2,11))=1,"1st",IF(INDIRECT(ADDRESS(9+$H$2,12))=1,"2nd",IF(INDIRECT(ADDRESS(9+$H$2,13))=1,"3rd"," ")))</f>
        <v xml:space="preserve"> </v>
      </c>
      <c r="N3" s="130" t="str">
        <f ca="1">IF($K3=4,3,IF($L3=4,2,IF($M3=4,1," ")))</f>
        <v xml:space="preserve"> </v>
      </c>
      <c r="R3" s="33"/>
      <c r="S3" s="131" t="s">
        <v>9</v>
      </c>
      <c r="T3" s="131"/>
      <c r="U3" s="131"/>
    </row>
    <row r="4" spans="2:30" s="29" customFormat="1" ht="18.75" x14ac:dyDescent="0.3">
      <c r="E4" s="17"/>
      <c r="F4" s="128" t="s">
        <v>1</v>
      </c>
      <c r="G4" s="129"/>
      <c r="H4" s="3">
        <f ca="1">INDIRECT(ADDRESS(INDIRECT(ADDRESS($H$2+9,3))+1,1,,,"Names"))</f>
        <v>4</v>
      </c>
      <c r="I4" s="84" t="str">
        <f ca="1">INDIRECT(ADDRESS(INDIRECT(ADDRESS($H$2+9,3))+1,2,,,"Names"))</f>
        <v>Zau</v>
      </c>
      <c r="J4" s="85"/>
      <c r="K4" s="85"/>
      <c r="L4" s="86"/>
      <c r="M4" s="130" t="str">
        <f ca="1">IF(INDIRECT(ADDRESS(9+$H$2,11))=2,"1st",IF(INDIRECT(ADDRESS(9+$H$2,12))=2,"2nd",IF(INDIRECT(ADDRESS(9+$H$2,13))=2,"3rd"," ")))</f>
        <v xml:space="preserve"> </v>
      </c>
      <c r="N4" s="130" t="str">
        <f ca="1">IF($K4=4,3,IF($L4=4,2,IF($M4=4,1," ")))</f>
        <v xml:space="preserve"> </v>
      </c>
      <c r="R4" s="34"/>
      <c r="S4" s="131" t="s">
        <v>10</v>
      </c>
      <c r="T4" s="131"/>
      <c r="U4" s="131"/>
    </row>
    <row r="5" spans="2:30" s="29" customFormat="1" ht="18.75" x14ac:dyDescent="0.3">
      <c r="E5" s="17"/>
      <c r="F5" s="128" t="s">
        <v>6</v>
      </c>
      <c r="G5" s="129"/>
      <c r="H5" s="3">
        <f ca="1">INDIRECT(ADDRESS(INDIRECT(ADDRESS($H$2+9,4))+1,1,,,"Names"))</f>
        <v>3</v>
      </c>
      <c r="I5" s="84" t="str">
        <f ca="1">INDIRECT(ADDRESS(INDIRECT(ADDRESS($H$2+9,4))+1,2,,,"Names"))</f>
        <v>Caleb</v>
      </c>
      <c r="J5" s="85"/>
      <c r="K5" s="85"/>
      <c r="L5" s="86"/>
      <c r="M5" s="130" t="str">
        <f ca="1">IF(INDIRECT(ADDRESS(9+$H$2,11))=3,"1st",IF(INDIRECT(ADDRESS(9+$H$2,12))=3,"2nd",IF(INDIRECT(ADDRESS(9+$H$2,13))=3,"3rd"," ")))</f>
        <v xml:space="preserve"> </v>
      </c>
      <c r="N5" s="130" t="str">
        <f ca="1">IF($K5=4,3,IF($L5=4,2,IF($M5=4,1," ")))</f>
        <v xml:space="preserve"> </v>
      </c>
      <c r="R5" s="35"/>
      <c r="S5" s="131" t="s">
        <v>11</v>
      </c>
      <c r="T5" s="131"/>
      <c r="U5" s="131"/>
    </row>
    <row r="6" spans="2:30" s="29" customFormat="1" ht="18.75" hidden="1" x14ac:dyDescent="0.3">
      <c r="E6" s="17"/>
      <c r="F6" s="128"/>
      <c r="G6" s="129"/>
      <c r="H6" s="3"/>
      <c r="I6" s="84"/>
      <c r="J6" s="85"/>
      <c r="K6" s="85"/>
      <c r="L6" s="86"/>
      <c r="M6" s="130"/>
      <c r="N6" s="130"/>
      <c r="R6"/>
      <c r="S6" s="26"/>
      <c r="T6" s="26"/>
      <c r="U6" s="26"/>
    </row>
    <row r="7" spans="2:30" ht="13.5" thickBot="1" x14ac:dyDescent="0.25">
      <c r="E7" s="28"/>
    </row>
    <row r="8" spans="2:30" s="30" customFormat="1" ht="16.5" thickBot="1" x14ac:dyDescent="0.25">
      <c r="G8" s="144" t="s">
        <v>3</v>
      </c>
      <c r="H8" s="145"/>
      <c r="I8" s="145"/>
      <c r="J8" s="83"/>
      <c r="K8" s="154" t="s">
        <v>34</v>
      </c>
      <c r="L8" s="147"/>
      <c r="M8" s="148"/>
      <c r="N8" s="144" t="s">
        <v>13</v>
      </c>
      <c r="O8" s="145"/>
      <c r="P8" s="145"/>
      <c r="Q8" s="146"/>
    </row>
    <row r="9" spans="2:30" s="30" customFormat="1" ht="16.5" thickBot="1" x14ac:dyDescent="0.3">
      <c r="F9" s="14" t="s">
        <v>2</v>
      </c>
      <c r="G9" s="61" t="s">
        <v>0</v>
      </c>
      <c r="H9" s="62" t="s">
        <v>1</v>
      </c>
      <c r="I9" s="62" t="s">
        <v>6</v>
      </c>
      <c r="J9" s="63" t="s">
        <v>30</v>
      </c>
      <c r="K9" s="61" t="s">
        <v>31</v>
      </c>
      <c r="L9" s="62" t="s">
        <v>32</v>
      </c>
      <c r="M9" s="63" t="s">
        <v>33</v>
      </c>
      <c r="N9" s="54">
        <f>+Names!$A$2</f>
        <v>1</v>
      </c>
      <c r="O9" s="57">
        <f>+Names!$A$3</f>
        <v>2</v>
      </c>
      <c r="P9" s="57">
        <f>+Names!$A$4</f>
        <v>3</v>
      </c>
      <c r="Q9" s="58">
        <f>+Names!$A$5</f>
        <v>4</v>
      </c>
    </row>
    <row r="10" spans="2:30" s="30" customFormat="1" ht="15.75" x14ac:dyDescent="0.25">
      <c r="B10" s="36">
        <v>1</v>
      </c>
      <c r="C10" s="36">
        <v>4</v>
      </c>
      <c r="D10" s="36">
        <v>3</v>
      </c>
      <c r="E10" s="36"/>
      <c r="F10" s="72">
        <v>1</v>
      </c>
      <c r="G10" s="37">
        <f t="shared" ref="G10:I13" ca="1" si="0">INDIRECT(ADDRESS(B10+1,1,,,"Names"))</f>
        <v>1</v>
      </c>
      <c r="H10" s="18">
        <f t="shared" ca="1" si="0"/>
        <v>4</v>
      </c>
      <c r="I10" s="38">
        <f t="shared" ca="1" si="0"/>
        <v>3</v>
      </c>
      <c r="J10" s="91"/>
      <c r="K10" s="65"/>
      <c r="L10" s="76"/>
      <c r="M10" s="60"/>
      <c r="N10" s="88" t="str">
        <f t="shared" ref="N10:Q13" si="1">IF(ISNA(MATCH(COLUMN()-13,$B10:$E10,0)),"",IF($K10=MATCH(COLUMN()-13,$B10:$E10,0),3,IF($L10=MATCH(COLUMN()-13,$B10:$E10,0),2,IF($M10=MATCH(COLUMN()-13,$B10:$E10,0),1," "))))</f>
        <v xml:space="preserve"> </v>
      </c>
      <c r="O10" s="89" t="str">
        <f t="shared" si="1"/>
        <v/>
      </c>
      <c r="P10" s="89" t="str">
        <f t="shared" si="1"/>
        <v xml:space="preserve"> </v>
      </c>
      <c r="Q10" s="90" t="str">
        <f t="shared" si="1"/>
        <v xml:space="preserve"> </v>
      </c>
    </row>
    <row r="11" spans="2:30" s="30" customFormat="1" ht="15.75" x14ac:dyDescent="0.25">
      <c r="B11" s="36">
        <v>2</v>
      </c>
      <c r="C11" s="36">
        <v>1</v>
      </c>
      <c r="D11" s="36">
        <v>4</v>
      </c>
      <c r="E11" s="36"/>
      <c r="F11" s="73">
        <v>2</v>
      </c>
      <c r="G11" s="4">
        <f t="shared" ca="1" si="0"/>
        <v>2</v>
      </c>
      <c r="H11" s="19">
        <f t="shared" ca="1" si="0"/>
        <v>1</v>
      </c>
      <c r="I11" s="69">
        <f t="shared" ca="1" si="0"/>
        <v>4</v>
      </c>
      <c r="J11" s="92"/>
      <c r="K11" s="65"/>
      <c r="L11" s="76"/>
      <c r="M11" s="60"/>
      <c r="N11" s="32" t="str">
        <f t="shared" si="1"/>
        <v xml:space="preserve"> </v>
      </c>
      <c r="O11" s="15" t="str">
        <f t="shared" si="1"/>
        <v xml:space="preserve"> </v>
      </c>
      <c r="P11" s="15" t="str">
        <f t="shared" si="1"/>
        <v/>
      </c>
      <c r="Q11" s="5" t="str">
        <f t="shared" si="1"/>
        <v xml:space="preserve"> </v>
      </c>
    </row>
    <row r="12" spans="2:30" s="30" customFormat="1" ht="15.75" x14ac:dyDescent="0.25">
      <c r="B12" s="36">
        <v>3</v>
      </c>
      <c r="C12" s="36">
        <v>2</v>
      </c>
      <c r="D12" s="36">
        <v>1</v>
      </c>
      <c r="E12" s="36"/>
      <c r="F12" s="73">
        <v>3</v>
      </c>
      <c r="G12" s="4">
        <f t="shared" ca="1" si="0"/>
        <v>3</v>
      </c>
      <c r="H12" s="19">
        <f t="shared" ca="1" si="0"/>
        <v>2</v>
      </c>
      <c r="I12" s="69">
        <f t="shared" ca="1" si="0"/>
        <v>1</v>
      </c>
      <c r="J12" s="92"/>
      <c r="K12" s="65"/>
      <c r="L12" s="76"/>
      <c r="M12" s="60"/>
      <c r="N12" s="32" t="str">
        <f t="shared" si="1"/>
        <v xml:space="preserve"> </v>
      </c>
      <c r="O12" s="15" t="str">
        <f t="shared" si="1"/>
        <v xml:space="preserve"> </v>
      </c>
      <c r="P12" s="15" t="str">
        <f t="shared" si="1"/>
        <v xml:space="preserve"> </v>
      </c>
      <c r="Q12" s="5" t="str">
        <f t="shared" si="1"/>
        <v/>
      </c>
    </row>
    <row r="13" spans="2:30" s="30" customFormat="1" ht="16.5" thickBot="1" x14ac:dyDescent="0.3">
      <c r="B13" s="36">
        <v>4</v>
      </c>
      <c r="C13" s="36">
        <v>3</v>
      </c>
      <c r="D13" s="36">
        <v>2</v>
      </c>
      <c r="E13" s="36"/>
      <c r="F13" s="74">
        <v>4</v>
      </c>
      <c r="G13" s="6">
        <f t="shared" ca="1" si="0"/>
        <v>4</v>
      </c>
      <c r="H13" s="39">
        <f t="shared" ca="1" si="0"/>
        <v>3</v>
      </c>
      <c r="I13" s="40">
        <f t="shared" ca="1" si="0"/>
        <v>2</v>
      </c>
      <c r="J13" s="93"/>
      <c r="K13" s="94"/>
      <c r="L13" s="95"/>
      <c r="M13" s="96"/>
      <c r="N13" s="20" t="str">
        <f t="shared" si="1"/>
        <v/>
      </c>
      <c r="O13" s="16" t="str">
        <f t="shared" si="1"/>
        <v xml:space="preserve"> </v>
      </c>
      <c r="P13" s="16" t="str">
        <f t="shared" si="1"/>
        <v xml:space="preserve"> </v>
      </c>
      <c r="Q13" s="43" t="str">
        <f t="shared" si="1"/>
        <v xml:space="preserve"> </v>
      </c>
    </row>
    <row r="14" spans="2:30" ht="15.75" x14ac:dyDescent="0.25">
      <c r="K14" s="151" t="s">
        <v>4</v>
      </c>
      <c r="L14" s="152"/>
      <c r="M14" s="153"/>
      <c r="N14" s="44" t="str">
        <f>IF(SUM(N10:N13)&lt;1," ",SUM(N10:N13))</f>
        <v xml:space="preserve"> </v>
      </c>
      <c r="O14" s="45" t="str">
        <f>IF(SUM(O10:O13)&lt;1," ",SUM(O10:O13))</f>
        <v xml:space="preserve"> </v>
      </c>
      <c r="P14" s="45" t="str">
        <f>IF(SUM(P10:P13)&lt;1," ",SUM(P10:P13))</f>
        <v xml:space="preserve"> </v>
      </c>
      <c r="Q14" s="46" t="str">
        <f>IF(SUM(Q10:Q13)&lt;1," ",SUM(Q10:Q13))</f>
        <v xml:space="preserve"> </v>
      </c>
    </row>
    <row r="15" spans="2:30" ht="16.5" thickBot="1" x14ac:dyDescent="0.3">
      <c r="K15" s="141" t="s">
        <v>5</v>
      </c>
      <c r="L15" s="142"/>
      <c r="M15" s="143"/>
      <c r="N15" s="120" t="e">
        <f>RANK(N14,$N14:$AL14,0)</f>
        <v>#VALUE!</v>
      </c>
      <c r="O15" s="121" t="e">
        <f t="shared" ref="O15:Q15" si="2">RANK(O14,$N14:$AL14,0)</f>
        <v>#VALUE!</v>
      </c>
      <c r="P15" s="121" t="e">
        <f t="shared" si="2"/>
        <v>#VALUE!</v>
      </c>
      <c r="Q15" s="122" t="e">
        <f t="shared" si="2"/>
        <v>#VALUE!</v>
      </c>
    </row>
    <row r="16" spans="2:30" x14ac:dyDescent="0.2">
      <c r="N16" s="7"/>
      <c r="O16" s="7"/>
      <c r="P16" s="7"/>
      <c r="Q16" s="7"/>
    </row>
    <row r="17" spans="14:17" s="31" customFormat="1" ht="135.75" customHeight="1" x14ac:dyDescent="0.2">
      <c r="N17" s="8" t="str">
        <f>+Names!$B$2</f>
        <v>Luke</v>
      </c>
      <c r="O17" s="8" t="str">
        <f>+Names!$B$3</f>
        <v>Ro</v>
      </c>
      <c r="P17" s="8" t="str">
        <f>+Names!$B$4</f>
        <v>Caleb</v>
      </c>
      <c r="Q17" s="8" t="str">
        <f>+Names!$B$5</f>
        <v>Zau</v>
      </c>
    </row>
  </sheetData>
  <sheetProtection sheet="1" objects="1" scenarios="1" selectLockedCells="1"/>
  <mergeCells count="21">
    <mergeCell ref="F3:G3"/>
    <mergeCell ref="F4:G4"/>
    <mergeCell ref="R2:U2"/>
    <mergeCell ref="M2:N2"/>
    <mergeCell ref="I2:L2"/>
    <mergeCell ref="F1:W1"/>
    <mergeCell ref="K14:M14"/>
    <mergeCell ref="K15:M15"/>
    <mergeCell ref="S3:U3"/>
    <mergeCell ref="S4:U4"/>
    <mergeCell ref="S5:U5"/>
    <mergeCell ref="M3:N3"/>
    <mergeCell ref="G8:I8"/>
    <mergeCell ref="M4:N4"/>
    <mergeCell ref="M5:N5"/>
    <mergeCell ref="M6:N6"/>
    <mergeCell ref="N8:Q8"/>
    <mergeCell ref="K8:M8"/>
    <mergeCell ref="F5:G5"/>
    <mergeCell ref="F6:G6"/>
    <mergeCell ref="F2:G2"/>
  </mergeCells>
  <phoneticPr fontId="14" type="noConversion"/>
  <conditionalFormatting sqref="F10:F13">
    <cfRule type="expression" dxfId="24" priority="31" stopIfTrue="1">
      <formula>$H$2=F10</formula>
    </cfRule>
  </conditionalFormatting>
  <conditionalFormatting sqref="G10">
    <cfRule type="expression" dxfId="23" priority="13" stopIfTrue="1">
      <formula>$K$10=1</formula>
    </cfRule>
    <cfRule type="expression" dxfId="22" priority="14" stopIfTrue="1">
      <formula>$L$10=1</formula>
    </cfRule>
    <cfRule type="expression" dxfId="21" priority="15" stopIfTrue="1">
      <formula>$M$10=1</formula>
    </cfRule>
  </conditionalFormatting>
  <conditionalFormatting sqref="G11:G13">
    <cfRule type="expression" dxfId="20" priority="16" stopIfTrue="1">
      <formula>K11=1</formula>
    </cfRule>
    <cfRule type="expression" dxfId="19" priority="17" stopIfTrue="1">
      <formula>L11=1</formula>
    </cfRule>
    <cfRule type="expression" dxfId="18" priority="18" stopIfTrue="1">
      <formula>M11=1</formula>
    </cfRule>
  </conditionalFormatting>
  <conditionalFormatting sqref="H10:H13">
    <cfRule type="expression" dxfId="17" priority="19" stopIfTrue="1">
      <formula>K10=2</formula>
    </cfRule>
    <cfRule type="expression" dxfId="16" priority="20" stopIfTrue="1">
      <formula>L10=2</formula>
    </cfRule>
    <cfRule type="expression" dxfId="15" priority="21" stopIfTrue="1">
      <formula>M10=2</formula>
    </cfRule>
  </conditionalFormatting>
  <conditionalFormatting sqref="I10:I13">
    <cfRule type="expression" dxfId="14" priority="22" stopIfTrue="1">
      <formula>K10=3</formula>
    </cfRule>
    <cfRule type="expression" dxfId="13" priority="23" stopIfTrue="1">
      <formula>L10=3</formula>
    </cfRule>
    <cfRule type="expression" dxfId="12" priority="24" stopIfTrue="1">
      <formula>M10=3</formula>
    </cfRule>
  </conditionalFormatting>
  <conditionalFormatting sqref="I3:N6">
    <cfRule type="expression" dxfId="11" priority="28" stopIfTrue="1">
      <formula>$M3="1st"</formula>
    </cfRule>
    <cfRule type="expression" dxfId="10" priority="29" stopIfTrue="1">
      <formula>$M3="2nd"</formula>
    </cfRule>
    <cfRule type="expression" dxfId="9" priority="30" stopIfTrue="1">
      <formula>$M3="3rd"</formula>
    </cfRule>
  </conditionalFormatting>
  <conditionalFormatting sqref="J10:J13">
    <cfRule type="expression" dxfId="8" priority="25" stopIfTrue="1">
      <formula>K10=4</formula>
    </cfRule>
    <cfRule type="expression" dxfId="7" priority="26" stopIfTrue="1">
      <formula>L10=4</formula>
    </cfRule>
    <cfRule type="expression" dxfId="6" priority="27" stopIfTrue="1">
      <formula>M10=4</formula>
    </cfRule>
  </conditionalFormatting>
  <conditionalFormatting sqref="N10:Q13">
    <cfRule type="cellIs" dxfId="5" priority="10" stopIfTrue="1" operator="equal">
      <formula>3</formula>
    </cfRule>
    <cfRule type="cellIs" dxfId="4" priority="11" stopIfTrue="1" operator="equal">
      <formula>2</formula>
    </cfRule>
    <cfRule type="cellIs" dxfId="3" priority="12" stopIfTrue="1" operator="equal">
      <formula>1</formula>
    </cfRule>
  </conditionalFormatting>
  <conditionalFormatting sqref="N15:Q15">
    <cfRule type="cellIs" dxfId="2" priority="1" operator="equal">
      <formula>3</formula>
    </cfRule>
    <cfRule type="cellIs" dxfId="1" priority="2" operator="equal">
      <formula>2</formula>
    </cfRule>
    <cfRule type="cellIs" dxfId="0" priority="3" operator="equal">
      <formula>1</formula>
    </cfRule>
  </conditionalFormatting>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E3195C-63EB-4ECD-A8D4-47A5BEB1A012}">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Readme</vt:lpstr>
      <vt:lpstr>Names</vt:lpstr>
      <vt:lpstr>25 Cars</vt:lpstr>
      <vt:lpstr>24 Cars</vt:lpstr>
      <vt:lpstr>23 Cars</vt:lpstr>
      <vt:lpstr>22 Cars</vt:lpstr>
      <vt:lpstr>21 Cars</vt:lpstr>
      <vt:lpstr>20 Cars</vt:lpstr>
      <vt:lpstr>19 Cars</vt:lpstr>
      <vt:lpstr>18 Cars</vt:lpstr>
      <vt:lpstr>17 Cars</vt:lpstr>
      <vt:lpstr>16 Cars</vt:lpstr>
      <vt:lpstr>15 Cars</vt:lpstr>
      <vt:lpstr>14 Cars</vt:lpstr>
      <vt:lpstr>13 Cars</vt:lpstr>
      <vt:lpstr>12 Cars</vt:lpstr>
      <vt:lpstr>11 Cars</vt:lpstr>
      <vt:lpstr>10 Cars</vt:lpstr>
      <vt:lpstr>9 Cars</vt:lpstr>
      <vt:lpstr>8 Cars</vt:lpstr>
      <vt:lpstr>7 Cars</vt:lpstr>
      <vt:lpstr>6 Cars</vt:lpstr>
      <vt:lpstr>5 Cars</vt:lpstr>
      <vt:lpstr>4 Cars</vt:lpstr>
      <vt:lpstr>Banner</vt:lpstr>
      <vt:lpstr>'10 Cars'!Heat_15</vt:lpstr>
      <vt:lpstr>'11 Cars'!Heat_15</vt:lpstr>
      <vt:lpstr>'12 Cars'!Heat_15</vt:lpstr>
      <vt:lpstr>'13 Cars'!Heat_15</vt:lpstr>
      <vt:lpstr>'14 Cars'!Heat_15</vt:lpstr>
      <vt:lpstr>'15 Cars'!Heat_15</vt:lpstr>
      <vt:lpstr>'16 Cars'!Heat_15</vt:lpstr>
      <vt:lpstr>'17 Cars'!Heat_15</vt:lpstr>
      <vt:lpstr>'18 Cars'!Heat_15</vt:lpstr>
      <vt:lpstr>'19 Cars'!Heat_15</vt:lpstr>
      <vt:lpstr>'20 Cars'!Heat_15</vt:lpstr>
      <vt:lpstr>'21 Cars'!Heat_15</vt:lpstr>
      <vt:lpstr>'22 Cars'!Heat_15</vt:lpstr>
      <vt:lpstr>'23 Cars'!Heat_15</vt:lpstr>
      <vt:lpstr>'24 Cars'!Heat_15</vt:lpstr>
      <vt:lpstr>'25 Cars'!Heat_15</vt:lpstr>
      <vt:lpstr>'4 Cars'!Heat_15</vt:lpstr>
      <vt:lpstr>'5 Cars'!Heat_15</vt:lpstr>
      <vt:lpstr>'6 Cars'!Heat_15</vt:lpstr>
      <vt:lpstr>'7 Cars'!Heat_15</vt:lpstr>
      <vt:lpstr>'8 Cars'!Heat_15</vt:lpstr>
      <vt:lpstr>'9 Cars'!Heat_15</vt:lpstr>
    </vt:vector>
  </TitlesOfParts>
  <Company>Scoutdb.Org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Baggerman, bob@bizweb.com</dc:creator>
  <cp:lastModifiedBy>Tucker York</cp:lastModifiedBy>
  <cp:lastPrinted>2013-03-17T17:18:43Z</cp:lastPrinted>
  <dcterms:created xsi:type="dcterms:W3CDTF">2000-03-22T16:12:17Z</dcterms:created>
  <dcterms:modified xsi:type="dcterms:W3CDTF">2024-03-16T17:50:20Z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1.0</vt:lpwstr>
  </property>
  <property fmtid="{D5CDD505-2E9C-101B-9397-08002B2CF9AE}" pid="3" name="Date completed">
    <vt:lpwstr>May 13, 2003</vt:lpwstr>
  </property>
</Properties>
</file>